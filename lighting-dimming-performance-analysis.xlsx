
<file path=[Content_Types].xml><?xml version="1.0" encoding="utf-8"?>
<Types xmlns="http://schemas.openxmlformats.org/package/2006/content-types">
  <Default Extension="bin" ContentType="application/vnd.openxmlformats-officedocument.spreadsheetml.printerSettings"/>
  <Default Extension="png" ContentType="image/png"/>
  <Default Extension="jfif"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defaultThemeVersion="124226"/>
  <bookViews>
    <workbookView xWindow="-108" yWindow="-108" windowWidth="23256" windowHeight="12456" activeTab="2"/>
  </bookViews>
  <sheets>
    <sheet name="Details" sheetId="1" r:id="rId1"/>
    <sheet name="Pivot Tables" sheetId="2" r:id="rId2"/>
    <sheet name="DASHBOARD" sheetId="3" r:id="rId3"/>
  </sheets>
  <definedNames>
    <definedName name="Slicer_Dimming_Technology">#N/A</definedName>
    <definedName name="Slicer_Intensity">#N/A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<sst xmlns="http://schemas.openxmlformats.org/spreadsheetml/2006/main" count="86" uniqueCount="20">
  <si>
    <t>Dimming Technology</t>
  </si>
  <si>
    <t>Phase Cut Dimming</t>
  </si>
  <si>
    <t>DALI Dimming</t>
  </si>
  <si>
    <t>0 to 10v Dimming</t>
  </si>
  <si>
    <t>Lux (Lumen)</t>
  </si>
  <si>
    <t>Power (W)</t>
  </si>
  <si>
    <t>Current (mA)</t>
  </si>
  <si>
    <t>Harmonics - 3rd</t>
  </si>
  <si>
    <t>Harmonics - 5th</t>
  </si>
  <si>
    <t>Harmonics - 7th</t>
  </si>
  <si>
    <t>Row Labels</t>
  </si>
  <si>
    <t>Grand Total</t>
  </si>
  <si>
    <t>Sum of Power (W)</t>
  </si>
  <si>
    <t>Average of Lux (Lumen)</t>
  </si>
  <si>
    <t>Sum of Harmonics - 3rd</t>
  </si>
  <si>
    <t>Sum of Harmonics - 5th</t>
  </si>
  <si>
    <t>Sum of Harmonics - 7th</t>
  </si>
  <si>
    <t>Intensity (%)</t>
  </si>
  <si>
    <t>Sum of Current (mA)</t>
  </si>
  <si>
    <t>Column Labels</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</si>
</sst>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11"/>
      <color theme="1"/>
      <name val="Calibri"/>
      <family val="2"/>
      <scheme val="minor"/>
    </font>
    <font>
      <b/>
      <sz val="12"/>
      <color theme="1"/>
      <name val="Calibri"/>
      <family val="2"/>
      <scheme val="minor"/>
    </font>
    <font>
      <sz val="8"/>
      <name val="Calibri"/>
      <family val="2"/>
      <scheme val="minor"/>
    </font>
    <font>
      <b/>
      <sz val="28"/>
      <color rgb="FF953735"/>
      <name val="Cambria"/>
      <family val="1"/>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wrapText="1"/>
    </xf>
    <xf numFmtId="0" fontId="1" fillId="0" borderId="0" xfId="0" applyFont="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horizontal="center"/>
    </xf>
    <xf numFmtId="0" fontId="1" fillId="0" borderId="0" xfId="0" applyFont="1" applyAlignment="1">
      <alignment vertical="center" wrapText="1"/>
    </xf>
    <xf numFmtId="0" fontId="0" fillId="0" borderId="0" xfId="0" pivotButton="1"/>
    <xf numFmtId="0" fontId="0" fillId="0" borderId="0" xfId="0" applyAlignment="1">
      <alignment horizontal="left"/>
    </xf>
    <xf numFmtId="0" fontId="4" fillId="0" borderId="0" xfId="0" applyFont="1"/>
    <xf numFmtId="0" fontId="0" fillId="0" borderId="0" xfId="0" applyNumberFormat="1"/>
  </cellXfs>
  <cellStyles count="1">
    <cellStyle name="Normal" xfId="0" builtinId="0"/>
  </cellStyles>
  <dxfs count="2">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s>
  <tableStyles count="0" defaultTableStyle="TableStyleMedium2" defaultPivotStyle="PivotStyleLight16"/>
  <colors>
    <mruColors>
      <color rgb="FFCF763F"/>
      <color rgb="FFF6B31E"/>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Prototype- Dashboard.xlsx]Pivot Tables!PivotTable6</c:name>
    <c:fmtId val="0"/>
  </c:pivotSource>
  <c:chart>
    <c:title>
      <c:overlay val="0"/>
    </c:title>
    <c:autoTitleDeleted val="0"/>
    <c:pivotFmts>
      <c:pivotFmt>
        <c:idx val="0"/>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ln w="28575" cap="rnd">
            <a:solidFill>
              <a:schemeClr val="accent1"/>
            </a:solidFill>
            <a:round/>
          </a:ln>
          <a:effectLst/>
        </c:spPr>
        <c:marker>
          <c:symbol val="none"/>
        </c:marker>
      </c:pivotFmt>
      <c:pivotFmt>
        <c:idx val="2"/>
        <c:spPr>
          <a:ln w="28575" cap="rnd">
            <a:solidFill>
              <a:schemeClr val="accent3"/>
            </a:solidFill>
            <a:round/>
          </a:ln>
          <a:effectLst/>
        </c:spPr>
        <c:marker>
          <c:symbol val="none"/>
        </c:marker>
      </c:pivotFmt>
      <c:pivotFmt>
        <c:idx val="3"/>
        <c:spPr>
          <a:ln w="28575" cap="rnd">
            <a:solidFill>
              <a:schemeClr val="accent1"/>
            </a:solidFill>
            <a:round/>
          </a:ln>
          <a:effectLst/>
        </c:spPr>
        <c:marker>
          <c:symbol val="none"/>
        </c:marker>
      </c:pivotFmt>
    </c:pivotFmts>
    <c:plotArea>
      <c:layout/>
      <c:lineChart>
        <c:grouping val="standard"/>
        <c:varyColors val="0"/>
        <c:ser>
          <c:idx val="0"/>
          <c:order val="0"/>
          <c:tx>
            <c:strRef>
              <c:f>'Pivot Tables'!$C$3:$C$4</c:f>
              <c:strCache>
                <c:ptCount val="1"/>
                <c:pt idx="0">
                  <c:v>0 to 10v Dimming</c:v>
                </c:pt>
              </c:strCache>
            </c:strRef>
          </c:tx>
          <c:spPr>
            <a:ln w="28575" cap="rnd">
              <a:solidFill>
                <a:schemeClr val="accent1"/>
              </a:solidFill>
              <a:round/>
            </a:ln>
            <a:effectLst/>
          </c:spPr>
          <c:marker>
            <c:symbol val="none"/>
          </c:marker>
          <c:cat>
            <c:strRef>
              <c:f>'Pivot Tables'!$B$5:$B$15</c:f>
              <c:strCache>
                <c:ptCount val="10"/>
                <c:pt idx="0">
                  <c:v>10</c:v>
                </c:pt>
                <c:pt idx="1">
                  <c:v>20</c:v>
                </c:pt>
                <c:pt idx="2">
                  <c:v>30</c:v>
                </c:pt>
                <c:pt idx="3">
                  <c:v>40</c:v>
                </c:pt>
                <c:pt idx="4">
                  <c:v>50</c:v>
                </c:pt>
                <c:pt idx="5">
                  <c:v>60</c:v>
                </c:pt>
                <c:pt idx="6">
                  <c:v>70</c:v>
                </c:pt>
                <c:pt idx="7">
                  <c:v>80</c:v>
                </c:pt>
                <c:pt idx="8">
                  <c:v>90</c:v>
                </c:pt>
                <c:pt idx="9">
                  <c:v>100</c:v>
                </c:pt>
              </c:strCache>
            </c:strRef>
          </c:cat>
          <c:val>
            <c:numRef>
              <c:f>'Pivot Tables'!$C$5:$C$15</c:f>
              <c:numCache>
                <c:formatCode>General</c:formatCode>
                <c:ptCount val="10"/>
                <c:pt idx="0">
                  <c:v>31.51</c:v>
                </c:pt>
                <c:pt idx="1">
                  <c:v>31.51</c:v>
                </c:pt>
                <c:pt idx="2">
                  <c:v>31.51</c:v>
                </c:pt>
                <c:pt idx="3">
                  <c:v>31.51</c:v>
                </c:pt>
                <c:pt idx="4">
                  <c:v>31.51</c:v>
                </c:pt>
                <c:pt idx="5">
                  <c:v>31.51</c:v>
                </c:pt>
                <c:pt idx="6">
                  <c:v>31.51</c:v>
                </c:pt>
                <c:pt idx="7">
                  <c:v>31.51</c:v>
                </c:pt>
                <c:pt idx="8">
                  <c:v>31.51</c:v>
                </c:pt>
                <c:pt idx="9">
                  <c:v>31.51</c:v>
                </c:pt>
              </c:numCache>
            </c:numRef>
          </c:val>
          <c:smooth val="0"/>
          <c:extLst xmlns:c16r2="http://schemas.microsoft.com/office/drawing/2015/06/chart">
            <c:ext xmlns:c16="http://schemas.microsoft.com/office/drawing/2014/chart" uri="{C3380CC4-5D6E-409C-BE32-E72D297353CC}">
              <c16:uniqueId val="{00000000-03FC-4D6B-8FF7-488CFBC1321F}"/>
            </c:ext>
          </c:extLst>
        </c:ser>
        <c:ser>
          <c:idx val="1"/>
          <c:order val="1"/>
          <c:tx>
            <c:strRef>
              <c:f>'Pivot Tables'!$D$3:$D$4</c:f>
              <c:strCache>
                <c:ptCount val="1"/>
                <c:pt idx="0">
                  <c:v>DALI Dimming</c:v>
                </c:pt>
              </c:strCache>
            </c:strRef>
          </c:tx>
          <c:spPr>
            <a:ln w="28575" cap="rnd">
              <a:solidFill>
                <a:schemeClr val="accent1"/>
              </a:solidFill>
              <a:round/>
            </a:ln>
            <a:effectLst/>
          </c:spPr>
          <c:marker>
            <c:symbol val="none"/>
          </c:marker>
          <c:cat>
            <c:strRef>
              <c:f>'Pivot Tables'!$B$5:$B$15</c:f>
              <c:strCache>
                <c:ptCount val="10"/>
                <c:pt idx="0">
                  <c:v>10</c:v>
                </c:pt>
                <c:pt idx="1">
                  <c:v>20</c:v>
                </c:pt>
                <c:pt idx="2">
                  <c:v>30</c:v>
                </c:pt>
                <c:pt idx="3">
                  <c:v>40</c:v>
                </c:pt>
                <c:pt idx="4">
                  <c:v>50</c:v>
                </c:pt>
                <c:pt idx="5">
                  <c:v>60</c:v>
                </c:pt>
                <c:pt idx="6">
                  <c:v>70</c:v>
                </c:pt>
                <c:pt idx="7">
                  <c:v>80</c:v>
                </c:pt>
                <c:pt idx="8">
                  <c:v>90</c:v>
                </c:pt>
                <c:pt idx="9">
                  <c:v>100</c:v>
                </c:pt>
              </c:strCache>
            </c:strRef>
          </c:cat>
          <c:val>
            <c:numRef>
              <c:f>'Pivot Tables'!$D$5:$D$15</c:f>
              <c:numCache>
                <c:formatCode>General</c:formatCode>
                <c:ptCount val="10"/>
                <c:pt idx="0">
                  <c:v>3.87</c:v>
                </c:pt>
                <c:pt idx="1">
                  <c:v>6.71</c:v>
                </c:pt>
                <c:pt idx="2">
                  <c:v>9.32</c:v>
                </c:pt>
                <c:pt idx="3">
                  <c:v>12.21</c:v>
                </c:pt>
                <c:pt idx="4">
                  <c:v>14.95</c:v>
                </c:pt>
                <c:pt idx="5">
                  <c:v>18.16</c:v>
                </c:pt>
                <c:pt idx="6">
                  <c:v>21.59</c:v>
                </c:pt>
                <c:pt idx="7">
                  <c:v>23.65</c:v>
                </c:pt>
                <c:pt idx="8">
                  <c:v>27.27</c:v>
                </c:pt>
                <c:pt idx="9">
                  <c:v>29.54</c:v>
                </c:pt>
              </c:numCache>
            </c:numRef>
          </c:val>
          <c:smooth val="0"/>
        </c:ser>
        <c:ser>
          <c:idx val="2"/>
          <c:order val="2"/>
          <c:tx>
            <c:strRef>
              <c:f>'Pivot Tables'!$E$3:$E$4</c:f>
              <c:strCache>
                <c:ptCount val="1"/>
                <c:pt idx="0">
                  <c:v>Phase Cut Dimming</c:v>
                </c:pt>
              </c:strCache>
            </c:strRef>
          </c:tx>
          <c:spPr>
            <a:ln w="28575" cap="rnd">
              <a:solidFill>
                <a:schemeClr val="accent3"/>
              </a:solidFill>
              <a:round/>
            </a:ln>
            <a:effectLst/>
          </c:spPr>
          <c:marker>
            <c:symbol val="none"/>
          </c:marker>
          <c:cat>
            <c:strRef>
              <c:f>'Pivot Tables'!$B$5:$B$15</c:f>
              <c:strCache>
                <c:ptCount val="10"/>
                <c:pt idx="0">
                  <c:v>10</c:v>
                </c:pt>
                <c:pt idx="1">
                  <c:v>20</c:v>
                </c:pt>
                <c:pt idx="2">
                  <c:v>30</c:v>
                </c:pt>
                <c:pt idx="3">
                  <c:v>40</c:v>
                </c:pt>
                <c:pt idx="4">
                  <c:v>50</c:v>
                </c:pt>
                <c:pt idx="5">
                  <c:v>60</c:v>
                </c:pt>
                <c:pt idx="6">
                  <c:v>70</c:v>
                </c:pt>
                <c:pt idx="7">
                  <c:v>80</c:v>
                </c:pt>
                <c:pt idx="8">
                  <c:v>90</c:v>
                </c:pt>
                <c:pt idx="9">
                  <c:v>100</c:v>
                </c:pt>
              </c:strCache>
            </c:strRef>
          </c:cat>
          <c:val>
            <c:numRef>
              <c:f>'Pivot Tables'!$E$5:$E$15</c:f>
              <c:numCache>
                <c:formatCode>General</c:formatCode>
                <c:ptCount val="10"/>
                <c:pt idx="0">
                  <c:v>0</c:v>
                </c:pt>
                <c:pt idx="1">
                  <c:v>0.84</c:v>
                </c:pt>
                <c:pt idx="2">
                  <c:v>1.35</c:v>
                </c:pt>
                <c:pt idx="3">
                  <c:v>5.48</c:v>
                </c:pt>
                <c:pt idx="4">
                  <c:v>7.56</c:v>
                </c:pt>
                <c:pt idx="5">
                  <c:v>12.68</c:v>
                </c:pt>
                <c:pt idx="6">
                  <c:v>14</c:v>
                </c:pt>
                <c:pt idx="7">
                  <c:v>21.013999999999999</c:v>
                </c:pt>
                <c:pt idx="8">
                  <c:v>30.6</c:v>
                </c:pt>
                <c:pt idx="9">
                  <c:v>29.89</c:v>
                </c:pt>
              </c:numCache>
            </c:numRef>
          </c:val>
          <c:smooth val="0"/>
        </c:ser>
        <c:dLbls>
          <c:showLegendKey val="0"/>
          <c:showVal val="0"/>
          <c:showCatName val="0"/>
          <c:showSerName val="0"/>
          <c:showPercent val="0"/>
          <c:showBubbleSize val="0"/>
        </c:dLbls>
        <c:marker val="1"/>
        <c:smooth val="0"/>
        <c:axId val="221992064"/>
        <c:axId val="221993600"/>
      </c:lineChart>
      <c:catAx>
        <c:axId val="221992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993600"/>
        <c:crosses val="autoZero"/>
        <c:auto val="1"/>
        <c:lblAlgn val="ctr"/>
        <c:lblOffset val="100"/>
        <c:noMultiLvlLbl val="0"/>
      </c:catAx>
      <c:valAx>
        <c:axId val="221993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992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Prototype- Dashboard.xlsx]Pivot Tables!PivotTable7</c:name>
    <c:fmtId val="2"/>
  </c:pivotSource>
  <c:chart>
    <c:title>
      <c:overlay val="0"/>
    </c:title>
    <c:autoTitleDeleted val="0"/>
    <c:pivotFmts>
      <c:pivotFmt>
        <c:idx val="0"/>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3"/>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bar"/>
        <c:grouping val="clustered"/>
        <c:varyColors val="0"/>
        <c:ser>
          <c:idx val="0"/>
          <c:order val="0"/>
          <c:tx>
            <c:strRef>
              <c:f>'Pivot Tables'!$C$24:$C$25</c:f>
              <c:strCache>
                <c:ptCount val="1"/>
                <c:pt idx="0">
                  <c:v>0 to 10v Dimming</c:v>
                </c:pt>
              </c:strCache>
            </c:strRef>
          </c:tx>
          <c:spPr>
            <a:solidFill>
              <a:schemeClr val="accent1"/>
            </a:solidFill>
            <a:ln>
              <a:noFill/>
            </a:ln>
            <a:effectLst/>
          </c:spPr>
          <c:invertIfNegative val="0"/>
          <c:cat>
            <c:strRef>
              <c:f>'Pivot Tables'!$B$26:$B$36</c:f>
              <c:strCache>
                <c:ptCount val="10"/>
                <c:pt idx="0">
                  <c:v>10</c:v>
                </c:pt>
                <c:pt idx="1">
                  <c:v>20</c:v>
                </c:pt>
                <c:pt idx="2">
                  <c:v>30</c:v>
                </c:pt>
                <c:pt idx="3">
                  <c:v>40</c:v>
                </c:pt>
                <c:pt idx="4">
                  <c:v>50</c:v>
                </c:pt>
                <c:pt idx="5">
                  <c:v>60</c:v>
                </c:pt>
                <c:pt idx="6">
                  <c:v>70</c:v>
                </c:pt>
                <c:pt idx="7">
                  <c:v>80</c:v>
                </c:pt>
                <c:pt idx="8">
                  <c:v>90</c:v>
                </c:pt>
                <c:pt idx="9">
                  <c:v>100</c:v>
                </c:pt>
              </c:strCache>
            </c:strRef>
          </c:cat>
          <c:val>
            <c:numRef>
              <c:f>'Pivot Tables'!$C$26:$C$36</c:f>
              <c:numCache>
                <c:formatCode>General</c:formatCode>
                <c:ptCount val="10"/>
                <c:pt idx="0">
                  <c:v>200</c:v>
                </c:pt>
                <c:pt idx="1">
                  <c:v>400</c:v>
                </c:pt>
                <c:pt idx="2">
                  <c:v>500</c:v>
                </c:pt>
                <c:pt idx="3">
                  <c:v>800</c:v>
                </c:pt>
                <c:pt idx="4">
                  <c:v>1000</c:v>
                </c:pt>
                <c:pt idx="5">
                  <c:v>1200</c:v>
                </c:pt>
                <c:pt idx="6">
                  <c:v>1400</c:v>
                </c:pt>
                <c:pt idx="7">
                  <c:v>1600</c:v>
                </c:pt>
                <c:pt idx="8">
                  <c:v>1800</c:v>
                </c:pt>
                <c:pt idx="9">
                  <c:v>1900</c:v>
                </c:pt>
              </c:numCache>
            </c:numRef>
          </c:val>
          <c:extLst xmlns:c16r2="http://schemas.microsoft.com/office/drawing/2015/06/chart">
            <c:ext xmlns:c16="http://schemas.microsoft.com/office/drawing/2014/chart" uri="{C3380CC4-5D6E-409C-BE32-E72D297353CC}">
              <c16:uniqueId val="{00000000-F615-421F-AE71-0F5FCF4218E1}"/>
            </c:ext>
          </c:extLst>
        </c:ser>
        <c:ser>
          <c:idx val="1"/>
          <c:order val="1"/>
          <c:tx>
            <c:strRef>
              <c:f>'Pivot Tables'!$D$24:$D$25</c:f>
              <c:strCache>
                <c:ptCount val="1"/>
                <c:pt idx="0">
                  <c:v>DALI Dimming</c:v>
                </c:pt>
              </c:strCache>
            </c:strRef>
          </c:tx>
          <c:spPr>
            <a:solidFill>
              <a:schemeClr val="accent1"/>
            </a:solidFill>
            <a:ln>
              <a:noFill/>
            </a:ln>
            <a:effectLst/>
          </c:spPr>
          <c:invertIfNegative val="0"/>
          <c:cat>
            <c:strRef>
              <c:f>'Pivot Tables'!$B$26:$B$36</c:f>
              <c:strCache>
                <c:ptCount val="10"/>
                <c:pt idx="0">
                  <c:v>10</c:v>
                </c:pt>
                <c:pt idx="1">
                  <c:v>20</c:v>
                </c:pt>
                <c:pt idx="2">
                  <c:v>30</c:v>
                </c:pt>
                <c:pt idx="3">
                  <c:v>40</c:v>
                </c:pt>
                <c:pt idx="4">
                  <c:v>50</c:v>
                </c:pt>
                <c:pt idx="5">
                  <c:v>60</c:v>
                </c:pt>
                <c:pt idx="6">
                  <c:v>70</c:v>
                </c:pt>
                <c:pt idx="7">
                  <c:v>80</c:v>
                </c:pt>
                <c:pt idx="8">
                  <c:v>90</c:v>
                </c:pt>
                <c:pt idx="9">
                  <c:v>100</c:v>
                </c:pt>
              </c:strCache>
            </c:strRef>
          </c:cat>
          <c:val>
            <c:numRef>
              <c:f>'Pivot Tables'!$D$26:$D$36</c:f>
              <c:numCache>
                <c:formatCode>General</c:formatCode>
                <c:ptCount val="10"/>
                <c:pt idx="0">
                  <c:v>700</c:v>
                </c:pt>
                <c:pt idx="1">
                  <c:v>1000</c:v>
                </c:pt>
                <c:pt idx="2">
                  <c:v>1400</c:v>
                </c:pt>
                <c:pt idx="3">
                  <c:v>1800</c:v>
                </c:pt>
                <c:pt idx="4">
                  <c:v>2100</c:v>
                </c:pt>
                <c:pt idx="5">
                  <c:v>2300</c:v>
                </c:pt>
                <c:pt idx="6">
                  <c:v>2500</c:v>
                </c:pt>
                <c:pt idx="7">
                  <c:v>2700</c:v>
                </c:pt>
                <c:pt idx="8">
                  <c:v>2900</c:v>
                </c:pt>
                <c:pt idx="9">
                  <c:v>3200</c:v>
                </c:pt>
              </c:numCache>
            </c:numRef>
          </c:val>
        </c:ser>
        <c:ser>
          <c:idx val="2"/>
          <c:order val="2"/>
          <c:tx>
            <c:strRef>
              <c:f>'Pivot Tables'!$E$24:$E$25</c:f>
              <c:strCache>
                <c:ptCount val="1"/>
                <c:pt idx="0">
                  <c:v>Phase Cut Dimming</c:v>
                </c:pt>
              </c:strCache>
            </c:strRef>
          </c:tx>
          <c:spPr>
            <a:solidFill>
              <a:schemeClr val="accent3"/>
            </a:solidFill>
            <a:ln>
              <a:noFill/>
            </a:ln>
            <a:effectLst/>
          </c:spPr>
          <c:invertIfNegative val="0"/>
          <c:cat>
            <c:strRef>
              <c:f>'Pivot Tables'!$B$26:$B$36</c:f>
              <c:strCache>
                <c:ptCount val="10"/>
                <c:pt idx="0">
                  <c:v>10</c:v>
                </c:pt>
                <c:pt idx="1">
                  <c:v>20</c:v>
                </c:pt>
                <c:pt idx="2">
                  <c:v>30</c:v>
                </c:pt>
                <c:pt idx="3">
                  <c:v>40</c:v>
                </c:pt>
                <c:pt idx="4">
                  <c:v>50</c:v>
                </c:pt>
                <c:pt idx="5">
                  <c:v>60</c:v>
                </c:pt>
                <c:pt idx="6">
                  <c:v>70</c:v>
                </c:pt>
                <c:pt idx="7">
                  <c:v>80</c:v>
                </c:pt>
                <c:pt idx="8">
                  <c:v>90</c:v>
                </c:pt>
                <c:pt idx="9">
                  <c:v>100</c:v>
                </c:pt>
              </c:strCache>
            </c:strRef>
          </c:cat>
          <c:val>
            <c:numRef>
              <c:f>'Pivot Tables'!$E$26:$E$36</c:f>
              <c:numCache>
                <c:formatCode>General</c:formatCode>
                <c:ptCount val="10"/>
                <c:pt idx="0">
                  <c:v>0</c:v>
                </c:pt>
                <c:pt idx="1">
                  <c:v>25</c:v>
                </c:pt>
                <c:pt idx="2">
                  <c:v>62</c:v>
                </c:pt>
                <c:pt idx="3">
                  <c:v>100</c:v>
                </c:pt>
                <c:pt idx="4">
                  <c:v>400</c:v>
                </c:pt>
                <c:pt idx="5">
                  <c:v>500</c:v>
                </c:pt>
                <c:pt idx="6">
                  <c:v>1100</c:v>
                </c:pt>
                <c:pt idx="7">
                  <c:v>1600</c:v>
                </c:pt>
                <c:pt idx="8">
                  <c:v>2300</c:v>
                </c:pt>
                <c:pt idx="9">
                  <c:v>2500</c:v>
                </c:pt>
              </c:numCache>
            </c:numRef>
          </c:val>
        </c:ser>
        <c:dLbls>
          <c:showLegendKey val="0"/>
          <c:showVal val="0"/>
          <c:showCatName val="0"/>
          <c:showSerName val="0"/>
          <c:showPercent val="0"/>
          <c:showBubbleSize val="0"/>
        </c:dLbls>
        <c:gapWidth val="182"/>
        <c:axId val="222374912"/>
        <c:axId val="222380800"/>
      </c:barChart>
      <c:catAx>
        <c:axId val="222374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380800"/>
        <c:crosses val="autoZero"/>
        <c:auto val="1"/>
        <c:lblAlgn val="ctr"/>
        <c:lblOffset val="100"/>
        <c:noMultiLvlLbl val="0"/>
      </c:catAx>
      <c:valAx>
        <c:axId val="2223808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374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Prototype- Dashboard.xlsx]Pivot Tables!PivotTable8</c:name>
    <c:fmtId val="9"/>
  </c:pivotSource>
  <c:chart>
    <c:title>
      <c:overlay val="0"/>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3"/>
          </a:solidFill>
          <a:ln>
            <a:noFill/>
          </a:ln>
          <a:effectLst/>
        </c:spPr>
        <c:marker>
          <c:symbol val="none"/>
        </c:marker>
      </c:pivotFmt>
      <c:pivotFmt>
        <c:idx val="3"/>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s>
    <c:plotArea>
      <c:layout/>
      <c:barChart>
        <c:barDir val="col"/>
        <c:grouping val="clustered"/>
        <c:varyColors val="0"/>
        <c:ser>
          <c:idx val="0"/>
          <c:order val="0"/>
          <c:tx>
            <c:strRef>
              <c:f>'Pivot Tables'!$C$44:$C$45</c:f>
              <c:strCache>
                <c:ptCount val="1"/>
                <c:pt idx="0">
                  <c:v>0 to 10v Dimming</c:v>
                </c:pt>
              </c:strCache>
            </c:strRef>
          </c:tx>
          <c:spPr>
            <a:solidFill>
              <a:schemeClr val="accent1"/>
            </a:solidFill>
            <a:ln>
              <a:noFill/>
            </a:ln>
            <a:effectLst/>
          </c:spPr>
          <c:invertIfNegative val="0"/>
          <c:cat>
            <c:strRef>
              <c:f>'Pivot Tables'!$B$46:$B$56</c:f>
              <c:strCache>
                <c:ptCount val="10"/>
                <c:pt idx="0">
                  <c:v>10</c:v>
                </c:pt>
                <c:pt idx="1">
                  <c:v>20</c:v>
                </c:pt>
                <c:pt idx="2">
                  <c:v>30</c:v>
                </c:pt>
                <c:pt idx="3">
                  <c:v>40</c:v>
                </c:pt>
                <c:pt idx="4">
                  <c:v>50</c:v>
                </c:pt>
                <c:pt idx="5">
                  <c:v>60</c:v>
                </c:pt>
                <c:pt idx="6">
                  <c:v>70</c:v>
                </c:pt>
                <c:pt idx="7">
                  <c:v>80</c:v>
                </c:pt>
                <c:pt idx="8">
                  <c:v>90</c:v>
                </c:pt>
                <c:pt idx="9">
                  <c:v>100</c:v>
                </c:pt>
              </c:strCache>
            </c:strRef>
          </c:cat>
          <c:val>
            <c:numRef>
              <c:f>'Pivot Tables'!$C$46:$C$56</c:f>
              <c:numCache>
                <c:formatCode>General</c:formatCode>
                <c:ptCount val="10"/>
                <c:pt idx="0">
                  <c:v>8.0980000000000008</c:v>
                </c:pt>
                <c:pt idx="1">
                  <c:v>8.5730000000000004</c:v>
                </c:pt>
                <c:pt idx="2">
                  <c:v>8.1679999999999993</c:v>
                </c:pt>
                <c:pt idx="3">
                  <c:v>8.0370000000000008</c:v>
                </c:pt>
                <c:pt idx="4">
                  <c:v>8.1280000000000001</c:v>
                </c:pt>
                <c:pt idx="5">
                  <c:v>7.9930000000000003</c:v>
                </c:pt>
                <c:pt idx="6">
                  <c:v>8.0129999999999999</c:v>
                </c:pt>
                <c:pt idx="7">
                  <c:v>8.1199999999999992</c:v>
                </c:pt>
                <c:pt idx="8">
                  <c:v>7.8040000000000003</c:v>
                </c:pt>
                <c:pt idx="9">
                  <c:v>8.2040000000000006</c:v>
                </c:pt>
              </c:numCache>
            </c:numRef>
          </c:val>
          <c:extLst xmlns:c16r2="http://schemas.microsoft.com/office/drawing/2015/06/chart">
            <c:ext xmlns:c16="http://schemas.microsoft.com/office/drawing/2014/chart" uri="{C3380CC4-5D6E-409C-BE32-E72D297353CC}">
              <c16:uniqueId val="{00000000-051F-4966-9666-EEA9F89973AB}"/>
            </c:ext>
          </c:extLst>
        </c:ser>
        <c:ser>
          <c:idx val="1"/>
          <c:order val="1"/>
          <c:tx>
            <c:strRef>
              <c:f>'Pivot Tables'!$D$44:$D$45</c:f>
              <c:strCache>
                <c:ptCount val="1"/>
                <c:pt idx="0">
                  <c:v>DALI Dimming</c:v>
                </c:pt>
              </c:strCache>
            </c:strRef>
          </c:tx>
          <c:spPr>
            <a:solidFill>
              <a:schemeClr val="accent1"/>
            </a:solidFill>
            <a:ln>
              <a:noFill/>
            </a:ln>
            <a:effectLst/>
          </c:spPr>
          <c:invertIfNegative val="0"/>
          <c:cat>
            <c:strRef>
              <c:f>'Pivot Tables'!$B$46:$B$56</c:f>
              <c:strCache>
                <c:ptCount val="10"/>
                <c:pt idx="0">
                  <c:v>10</c:v>
                </c:pt>
                <c:pt idx="1">
                  <c:v>20</c:v>
                </c:pt>
                <c:pt idx="2">
                  <c:v>30</c:v>
                </c:pt>
                <c:pt idx="3">
                  <c:v>40</c:v>
                </c:pt>
                <c:pt idx="4">
                  <c:v>50</c:v>
                </c:pt>
                <c:pt idx="5">
                  <c:v>60</c:v>
                </c:pt>
                <c:pt idx="6">
                  <c:v>70</c:v>
                </c:pt>
                <c:pt idx="7">
                  <c:v>80</c:v>
                </c:pt>
                <c:pt idx="8">
                  <c:v>90</c:v>
                </c:pt>
                <c:pt idx="9">
                  <c:v>100</c:v>
                </c:pt>
              </c:strCache>
            </c:strRef>
          </c:cat>
          <c:val>
            <c:numRef>
              <c:f>'Pivot Tables'!$D$46:$D$56</c:f>
              <c:numCache>
                <c:formatCode>General</c:formatCode>
                <c:ptCount val="10"/>
                <c:pt idx="0">
                  <c:v>1.1459999999999999</c:v>
                </c:pt>
                <c:pt idx="1">
                  <c:v>0.97</c:v>
                </c:pt>
                <c:pt idx="2">
                  <c:v>1.139</c:v>
                </c:pt>
                <c:pt idx="3">
                  <c:v>1.089</c:v>
                </c:pt>
                <c:pt idx="4">
                  <c:v>1.044</c:v>
                </c:pt>
                <c:pt idx="5">
                  <c:v>1.101</c:v>
                </c:pt>
                <c:pt idx="6">
                  <c:v>1.048</c:v>
                </c:pt>
                <c:pt idx="7">
                  <c:v>1.0860000000000001</c:v>
                </c:pt>
                <c:pt idx="8">
                  <c:v>1.044</c:v>
                </c:pt>
                <c:pt idx="9">
                  <c:v>1.167</c:v>
                </c:pt>
              </c:numCache>
            </c:numRef>
          </c:val>
        </c:ser>
        <c:ser>
          <c:idx val="2"/>
          <c:order val="2"/>
          <c:tx>
            <c:strRef>
              <c:f>'Pivot Tables'!$E$44:$E$45</c:f>
              <c:strCache>
                <c:ptCount val="1"/>
                <c:pt idx="0">
                  <c:v>Phase Cut Dimming</c:v>
                </c:pt>
              </c:strCache>
            </c:strRef>
          </c:tx>
          <c:spPr>
            <a:solidFill>
              <a:schemeClr val="accent3"/>
            </a:solidFill>
            <a:ln>
              <a:noFill/>
            </a:ln>
            <a:effectLst/>
          </c:spPr>
          <c:invertIfNegative val="0"/>
          <c:cat>
            <c:strRef>
              <c:f>'Pivot Tables'!$B$46:$B$56</c:f>
              <c:strCache>
                <c:ptCount val="10"/>
                <c:pt idx="0">
                  <c:v>10</c:v>
                </c:pt>
                <c:pt idx="1">
                  <c:v>20</c:v>
                </c:pt>
                <c:pt idx="2">
                  <c:v>30</c:v>
                </c:pt>
                <c:pt idx="3">
                  <c:v>40</c:v>
                </c:pt>
                <c:pt idx="4">
                  <c:v>50</c:v>
                </c:pt>
                <c:pt idx="5">
                  <c:v>60</c:v>
                </c:pt>
                <c:pt idx="6">
                  <c:v>70</c:v>
                </c:pt>
                <c:pt idx="7">
                  <c:v>80</c:v>
                </c:pt>
                <c:pt idx="8">
                  <c:v>90</c:v>
                </c:pt>
                <c:pt idx="9">
                  <c:v>100</c:v>
                </c:pt>
              </c:strCache>
            </c:strRef>
          </c:cat>
          <c:val>
            <c:numRef>
              <c:f>'Pivot Tables'!$E$46:$E$56</c:f>
              <c:numCache>
                <c:formatCode>General</c:formatCode>
                <c:ptCount val="10"/>
                <c:pt idx="0">
                  <c:v>0</c:v>
                </c:pt>
                <c:pt idx="1">
                  <c:v>12.752000000000001</c:v>
                </c:pt>
                <c:pt idx="2">
                  <c:v>12.784000000000001</c:v>
                </c:pt>
                <c:pt idx="3">
                  <c:v>12.476000000000001</c:v>
                </c:pt>
                <c:pt idx="4">
                  <c:v>12.821</c:v>
                </c:pt>
                <c:pt idx="5">
                  <c:v>12.933</c:v>
                </c:pt>
                <c:pt idx="6">
                  <c:v>13.102</c:v>
                </c:pt>
                <c:pt idx="7">
                  <c:v>13.433999999999999</c:v>
                </c:pt>
                <c:pt idx="8">
                  <c:v>13.053000000000001</c:v>
                </c:pt>
                <c:pt idx="9">
                  <c:v>12.747999999999999</c:v>
                </c:pt>
              </c:numCache>
            </c:numRef>
          </c:val>
        </c:ser>
        <c:dLbls>
          <c:showLegendKey val="0"/>
          <c:showVal val="0"/>
          <c:showCatName val="0"/>
          <c:showSerName val="0"/>
          <c:showPercent val="0"/>
          <c:showBubbleSize val="0"/>
        </c:dLbls>
        <c:gapWidth val="219"/>
        <c:overlap val="-27"/>
        <c:axId val="222426240"/>
        <c:axId val="222427776"/>
      </c:barChart>
      <c:catAx>
        <c:axId val="222426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427776"/>
        <c:crosses val="autoZero"/>
        <c:auto val="1"/>
        <c:lblAlgn val="ctr"/>
        <c:lblOffset val="100"/>
        <c:noMultiLvlLbl val="0"/>
      </c:catAx>
      <c:valAx>
        <c:axId val="222427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426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Prototype- Dashboard.xlsx]Pivot Tables!PivotTable10</c:name>
    <c:fmtId val="9"/>
  </c:pivotSource>
  <c:chart>
    <c:title>
      <c:overlay val="0"/>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3"/>
          </a:solidFill>
          <a:ln>
            <a:noFill/>
          </a:ln>
          <a:effectLst/>
        </c:spPr>
        <c:marker>
          <c:symbol val="none"/>
        </c:marker>
      </c:pivotFmt>
      <c:pivotFmt>
        <c:idx val="3"/>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s>
    <c:plotArea>
      <c:layout/>
      <c:barChart>
        <c:barDir val="col"/>
        <c:grouping val="clustered"/>
        <c:varyColors val="0"/>
        <c:ser>
          <c:idx val="0"/>
          <c:order val="0"/>
          <c:tx>
            <c:strRef>
              <c:f>'Pivot Tables'!$C$64:$C$65</c:f>
              <c:strCache>
                <c:ptCount val="1"/>
                <c:pt idx="0">
                  <c:v>0 to 10v Dimming</c:v>
                </c:pt>
              </c:strCache>
            </c:strRef>
          </c:tx>
          <c:spPr>
            <a:solidFill>
              <a:schemeClr val="accent1"/>
            </a:solidFill>
            <a:ln>
              <a:noFill/>
            </a:ln>
            <a:effectLst/>
          </c:spPr>
          <c:invertIfNegative val="0"/>
          <c:cat>
            <c:strRef>
              <c:f>'Pivot Tables'!$B$66:$B$76</c:f>
              <c:strCache>
                <c:ptCount val="10"/>
                <c:pt idx="0">
                  <c:v>10</c:v>
                </c:pt>
                <c:pt idx="1">
                  <c:v>20</c:v>
                </c:pt>
                <c:pt idx="2">
                  <c:v>30</c:v>
                </c:pt>
                <c:pt idx="3">
                  <c:v>40</c:v>
                </c:pt>
                <c:pt idx="4">
                  <c:v>50</c:v>
                </c:pt>
                <c:pt idx="5">
                  <c:v>60</c:v>
                </c:pt>
                <c:pt idx="6">
                  <c:v>70</c:v>
                </c:pt>
                <c:pt idx="7">
                  <c:v>80</c:v>
                </c:pt>
                <c:pt idx="8">
                  <c:v>90</c:v>
                </c:pt>
                <c:pt idx="9">
                  <c:v>100</c:v>
                </c:pt>
              </c:strCache>
            </c:strRef>
          </c:cat>
          <c:val>
            <c:numRef>
              <c:f>'Pivot Tables'!$C$66:$C$76</c:f>
              <c:numCache>
                <c:formatCode>General</c:formatCode>
                <c:ptCount val="10"/>
                <c:pt idx="0">
                  <c:v>1.1859999999999999</c:v>
                </c:pt>
                <c:pt idx="1">
                  <c:v>1.5840000000000001</c:v>
                </c:pt>
                <c:pt idx="2">
                  <c:v>1.1539999999999999</c:v>
                </c:pt>
                <c:pt idx="3">
                  <c:v>1.288</c:v>
                </c:pt>
                <c:pt idx="4">
                  <c:v>1.2030000000000001</c:v>
                </c:pt>
                <c:pt idx="5">
                  <c:v>1.1040000000000001</c:v>
                </c:pt>
                <c:pt idx="6">
                  <c:v>1.2490000000000001</c:v>
                </c:pt>
                <c:pt idx="7">
                  <c:v>1.1519999999999999</c:v>
                </c:pt>
                <c:pt idx="8">
                  <c:v>1.38</c:v>
                </c:pt>
                <c:pt idx="9">
                  <c:v>1.3879999999999999</c:v>
                </c:pt>
              </c:numCache>
            </c:numRef>
          </c:val>
          <c:extLst xmlns:c16r2="http://schemas.microsoft.com/office/drawing/2015/06/chart">
            <c:ext xmlns:c16="http://schemas.microsoft.com/office/drawing/2014/chart" uri="{C3380CC4-5D6E-409C-BE32-E72D297353CC}">
              <c16:uniqueId val="{00000000-CAAA-477B-A721-D50C7ADDE3A6}"/>
            </c:ext>
          </c:extLst>
        </c:ser>
        <c:ser>
          <c:idx val="1"/>
          <c:order val="1"/>
          <c:tx>
            <c:strRef>
              <c:f>'Pivot Tables'!$D$64:$D$65</c:f>
              <c:strCache>
                <c:ptCount val="1"/>
                <c:pt idx="0">
                  <c:v>DALI Dimming</c:v>
                </c:pt>
              </c:strCache>
            </c:strRef>
          </c:tx>
          <c:spPr>
            <a:solidFill>
              <a:schemeClr val="accent1"/>
            </a:solidFill>
            <a:ln>
              <a:noFill/>
            </a:ln>
            <a:effectLst/>
          </c:spPr>
          <c:invertIfNegative val="0"/>
          <c:cat>
            <c:strRef>
              <c:f>'Pivot Tables'!$B$66:$B$76</c:f>
              <c:strCache>
                <c:ptCount val="10"/>
                <c:pt idx="0">
                  <c:v>10</c:v>
                </c:pt>
                <c:pt idx="1">
                  <c:v>20</c:v>
                </c:pt>
                <c:pt idx="2">
                  <c:v>30</c:v>
                </c:pt>
                <c:pt idx="3">
                  <c:v>40</c:v>
                </c:pt>
                <c:pt idx="4">
                  <c:v>50</c:v>
                </c:pt>
                <c:pt idx="5">
                  <c:v>60</c:v>
                </c:pt>
                <c:pt idx="6">
                  <c:v>70</c:v>
                </c:pt>
                <c:pt idx="7">
                  <c:v>80</c:v>
                </c:pt>
                <c:pt idx="8">
                  <c:v>90</c:v>
                </c:pt>
                <c:pt idx="9">
                  <c:v>100</c:v>
                </c:pt>
              </c:strCache>
            </c:strRef>
          </c:cat>
          <c:val>
            <c:numRef>
              <c:f>'Pivot Tables'!$D$66:$D$76</c:f>
              <c:numCache>
                <c:formatCode>General</c:formatCode>
                <c:ptCount val="10"/>
                <c:pt idx="0">
                  <c:v>0.70299999999999996</c:v>
                </c:pt>
                <c:pt idx="1">
                  <c:v>0.622</c:v>
                </c:pt>
                <c:pt idx="2">
                  <c:v>0.52400000000000002</c:v>
                </c:pt>
                <c:pt idx="3">
                  <c:v>0.54700000000000004</c:v>
                </c:pt>
                <c:pt idx="4">
                  <c:v>0.57699999999999996</c:v>
                </c:pt>
                <c:pt idx="5">
                  <c:v>0.53900000000000003</c:v>
                </c:pt>
                <c:pt idx="6">
                  <c:v>0.53</c:v>
                </c:pt>
                <c:pt idx="7">
                  <c:v>0.58099999999999996</c:v>
                </c:pt>
                <c:pt idx="8">
                  <c:v>0.45900000000000002</c:v>
                </c:pt>
                <c:pt idx="9">
                  <c:v>0.621</c:v>
                </c:pt>
              </c:numCache>
            </c:numRef>
          </c:val>
        </c:ser>
        <c:ser>
          <c:idx val="2"/>
          <c:order val="2"/>
          <c:tx>
            <c:strRef>
              <c:f>'Pivot Tables'!$E$64:$E$65</c:f>
              <c:strCache>
                <c:ptCount val="1"/>
                <c:pt idx="0">
                  <c:v>Phase Cut Dimming</c:v>
                </c:pt>
              </c:strCache>
            </c:strRef>
          </c:tx>
          <c:spPr>
            <a:solidFill>
              <a:schemeClr val="accent3"/>
            </a:solidFill>
            <a:ln>
              <a:noFill/>
            </a:ln>
            <a:effectLst/>
          </c:spPr>
          <c:invertIfNegative val="0"/>
          <c:cat>
            <c:strRef>
              <c:f>'Pivot Tables'!$B$66:$B$76</c:f>
              <c:strCache>
                <c:ptCount val="10"/>
                <c:pt idx="0">
                  <c:v>10</c:v>
                </c:pt>
                <c:pt idx="1">
                  <c:v>20</c:v>
                </c:pt>
                <c:pt idx="2">
                  <c:v>30</c:v>
                </c:pt>
                <c:pt idx="3">
                  <c:v>40</c:v>
                </c:pt>
                <c:pt idx="4">
                  <c:v>50</c:v>
                </c:pt>
                <c:pt idx="5">
                  <c:v>60</c:v>
                </c:pt>
                <c:pt idx="6">
                  <c:v>70</c:v>
                </c:pt>
                <c:pt idx="7">
                  <c:v>80</c:v>
                </c:pt>
                <c:pt idx="8">
                  <c:v>90</c:v>
                </c:pt>
                <c:pt idx="9">
                  <c:v>100</c:v>
                </c:pt>
              </c:strCache>
            </c:strRef>
          </c:cat>
          <c:val>
            <c:numRef>
              <c:f>'Pivot Tables'!$E$66:$E$76</c:f>
              <c:numCache>
                <c:formatCode>General</c:formatCode>
                <c:ptCount val="10"/>
                <c:pt idx="0">
                  <c:v>0</c:v>
                </c:pt>
                <c:pt idx="1">
                  <c:v>1.5840000000000001</c:v>
                </c:pt>
                <c:pt idx="2">
                  <c:v>1.7410000000000001</c:v>
                </c:pt>
                <c:pt idx="3">
                  <c:v>1.6950000000000001</c:v>
                </c:pt>
                <c:pt idx="4">
                  <c:v>1.8480000000000001</c:v>
                </c:pt>
                <c:pt idx="5">
                  <c:v>1.7989999999999999</c:v>
                </c:pt>
                <c:pt idx="6">
                  <c:v>1.369</c:v>
                </c:pt>
                <c:pt idx="7">
                  <c:v>1.097</c:v>
                </c:pt>
                <c:pt idx="8">
                  <c:v>2.1539999999999999</c:v>
                </c:pt>
                <c:pt idx="9">
                  <c:v>1.385</c:v>
                </c:pt>
              </c:numCache>
            </c:numRef>
          </c:val>
        </c:ser>
        <c:dLbls>
          <c:showLegendKey val="0"/>
          <c:showVal val="0"/>
          <c:showCatName val="0"/>
          <c:showSerName val="0"/>
          <c:showPercent val="0"/>
          <c:showBubbleSize val="0"/>
        </c:dLbls>
        <c:gapWidth val="219"/>
        <c:overlap val="-27"/>
        <c:axId val="222342144"/>
        <c:axId val="222352128"/>
      </c:barChart>
      <c:catAx>
        <c:axId val="222342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352128"/>
        <c:crosses val="autoZero"/>
        <c:auto val="1"/>
        <c:lblAlgn val="ctr"/>
        <c:lblOffset val="100"/>
        <c:noMultiLvlLbl val="0"/>
      </c:catAx>
      <c:valAx>
        <c:axId val="222352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342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Prototype- Dashboard.xlsx]Pivot Tables!PivotTable11</c:name>
    <c:fmtId val="9"/>
  </c:pivotSource>
  <c:chart>
    <c:title>
      <c:overlay val="0"/>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3"/>
          </a:solidFill>
          <a:ln>
            <a:noFill/>
          </a:ln>
          <a:effectLst/>
        </c:spPr>
        <c:marker>
          <c:symbol val="none"/>
        </c:marker>
      </c:pivotFmt>
      <c:pivotFmt>
        <c:idx val="3"/>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s>
    <c:plotArea>
      <c:layout/>
      <c:barChart>
        <c:barDir val="col"/>
        <c:grouping val="clustered"/>
        <c:varyColors val="0"/>
        <c:ser>
          <c:idx val="0"/>
          <c:order val="0"/>
          <c:tx>
            <c:strRef>
              <c:f>'Pivot Tables'!$C$81:$C$82</c:f>
              <c:strCache>
                <c:ptCount val="1"/>
                <c:pt idx="0">
                  <c:v>0 to 10v Dimming</c:v>
                </c:pt>
              </c:strCache>
            </c:strRef>
          </c:tx>
          <c:spPr>
            <a:solidFill>
              <a:schemeClr val="accent1"/>
            </a:solidFill>
            <a:ln>
              <a:noFill/>
            </a:ln>
            <a:effectLst/>
          </c:spPr>
          <c:invertIfNegative val="0"/>
          <c:cat>
            <c:strRef>
              <c:f>'Pivot Tables'!$B$83:$B$93</c:f>
              <c:strCache>
                <c:ptCount val="10"/>
                <c:pt idx="0">
                  <c:v>10</c:v>
                </c:pt>
                <c:pt idx="1">
                  <c:v>20</c:v>
                </c:pt>
                <c:pt idx="2">
                  <c:v>30</c:v>
                </c:pt>
                <c:pt idx="3">
                  <c:v>40</c:v>
                </c:pt>
                <c:pt idx="4">
                  <c:v>50</c:v>
                </c:pt>
                <c:pt idx="5">
                  <c:v>60</c:v>
                </c:pt>
                <c:pt idx="6">
                  <c:v>70</c:v>
                </c:pt>
                <c:pt idx="7">
                  <c:v>80</c:v>
                </c:pt>
                <c:pt idx="8">
                  <c:v>90</c:v>
                </c:pt>
                <c:pt idx="9">
                  <c:v>100</c:v>
                </c:pt>
              </c:strCache>
            </c:strRef>
          </c:cat>
          <c:val>
            <c:numRef>
              <c:f>'Pivot Tables'!$C$83:$C$93</c:f>
              <c:numCache>
                <c:formatCode>General</c:formatCode>
                <c:ptCount val="10"/>
                <c:pt idx="0">
                  <c:v>3.7029999999999998</c:v>
                </c:pt>
                <c:pt idx="1">
                  <c:v>3.3620000000000001</c:v>
                </c:pt>
                <c:pt idx="2">
                  <c:v>3.6619999999999999</c:v>
                </c:pt>
                <c:pt idx="3">
                  <c:v>3.6440000000000001</c:v>
                </c:pt>
                <c:pt idx="4">
                  <c:v>3.585</c:v>
                </c:pt>
                <c:pt idx="5">
                  <c:v>3.7749999999999999</c:v>
                </c:pt>
                <c:pt idx="6">
                  <c:v>3.7040000000000002</c:v>
                </c:pt>
                <c:pt idx="7">
                  <c:v>3.7149999999999999</c:v>
                </c:pt>
                <c:pt idx="8">
                  <c:v>3.423</c:v>
                </c:pt>
                <c:pt idx="9">
                  <c:v>3.456</c:v>
                </c:pt>
              </c:numCache>
            </c:numRef>
          </c:val>
          <c:extLst xmlns:c16r2="http://schemas.microsoft.com/office/drawing/2015/06/chart">
            <c:ext xmlns:c16="http://schemas.microsoft.com/office/drawing/2014/chart" uri="{C3380CC4-5D6E-409C-BE32-E72D297353CC}">
              <c16:uniqueId val="{00000000-14FF-4FF1-8AC2-C3E11C255260}"/>
            </c:ext>
          </c:extLst>
        </c:ser>
        <c:ser>
          <c:idx val="1"/>
          <c:order val="1"/>
          <c:tx>
            <c:strRef>
              <c:f>'Pivot Tables'!$D$81:$D$82</c:f>
              <c:strCache>
                <c:ptCount val="1"/>
                <c:pt idx="0">
                  <c:v>DALI Dimming</c:v>
                </c:pt>
              </c:strCache>
            </c:strRef>
          </c:tx>
          <c:spPr>
            <a:solidFill>
              <a:schemeClr val="accent1"/>
            </a:solidFill>
            <a:ln>
              <a:noFill/>
            </a:ln>
            <a:effectLst/>
          </c:spPr>
          <c:invertIfNegative val="0"/>
          <c:cat>
            <c:strRef>
              <c:f>'Pivot Tables'!$B$83:$B$93</c:f>
              <c:strCache>
                <c:ptCount val="10"/>
                <c:pt idx="0">
                  <c:v>10</c:v>
                </c:pt>
                <c:pt idx="1">
                  <c:v>20</c:v>
                </c:pt>
                <c:pt idx="2">
                  <c:v>30</c:v>
                </c:pt>
                <c:pt idx="3">
                  <c:v>40</c:v>
                </c:pt>
                <c:pt idx="4">
                  <c:v>50</c:v>
                </c:pt>
                <c:pt idx="5">
                  <c:v>60</c:v>
                </c:pt>
                <c:pt idx="6">
                  <c:v>70</c:v>
                </c:pt>
                <c:pt idx="7">
                  <c:v>80</c:v>
                </c:pt>
                <c:pt idx="8">
                  <c:v>90</c:v>
                </c:pt>
                <c:pt idx="9">
                  <c:v>100</c:v>
                </c:pt>
              </c:strCache>
            </c:strRef>
          </c:cat>
          <c:val>
            <c:numRef>
              <c:f>'Pivot Tables'!$D$83:$D$93</c:f>
              <c:numCache>
                <c:formatCode>General</c:formatCode>
                <c:ptCount val="10"/>
                <c:pt idx="0">
                  <c:v>1.2470000000000001</c:v>
                </c:pt>
                <c:pt idx="1">
                  <c:v>1.347</c:v>
                </c:pt>
                <c:pt idx="2">
                  <c:v>1.26</c:v>
                </c:pt>
                <c:pt idx="3">
                  <c:v>1.23</c:v>
                </c:pt>
                <c:pt idx="4">
                  <c:v>1.2110000000000001</c:v>
                </c:pt>
                <c:pt idx="5">
                  <c:v>1.24</c:v>
                </c:pt>
                <c:pt idx="6">
                  <c:v>1.286</c:v>
                </c:pt>
                <c:pt idx="7">
                  <c:v>1.339</c:v>
                </c:pt>
                <c:pt idx="8">
                  <c:v>1.3919999999999999</c:v>
                </c:pt>
                <c:pt idx="9">
                  <c:v>1.5129999999999999</c:v>
                </c:pt>
              </c:numCache>
            </c:numRef>
          </c:val>
        </c:ser>
        <c:ser>
          <c:idx val="2"/>
          <c:order val="2"/>
          <c:tx>
            <c:strRef>
              <c:f>'Pivot Tables'!$E$81:$E$82</c:f>
              <c:strCache>
                <c:ptCount val="1"/>
                <c:pt idx="0">
                  <c:v>Phase Cut Dimming</c:v>
                </c:pt>
              </c:strCache>
            </c:strRef>
          </c:tx>
          <c:spPr>
            <a:solidFill>
              <a:schemeClr val="accent3"/>
            </a:solidFill>
            <a:ln>
              <a:noFill/>
            </a:ln>
            <a:effectLst/>
          </c:spPr>
          <c:invertIfNegative val="0"/>
          <c:cat>
            <c:strRef>
              <c:f>'Pivot Tables'!$B$83:$B$93</c:f>
              <c:strCache>
                <c:ptCount val="10"/>
                <c:pt idx="0">
                  <c:v>10</c:v>
                </c:pt>
                <c:pt idx="1">
                  <c:v>20</c:v>
                </c:pt>
                <c:pt idx="2">
                  <c:v>30</c:v>
                </c:pt>
                <c:pt idx="3">
                  <c:v>40</c:v>
                </c:pt>
                <c:pt idx="4">
                  <c:v>50</c:v>
                </c:pt>
                <c:pt idx="5">
                  <c:v>60</c:v>
                </c:pt>
                <c:pt idx="6">
                  <c:v>70</c:v>
                </c:pt>
                <c:pt idx="7">
                  <c:v>80</c:v>
                </c:pt>
                <c:pt idx="8">
                  <c:v>90</c:v>
                </c:pt>
                <c:pt idx="9">
                  <c:v>100</c:v>
                </c:pt>
              </c:strCache>
            </c:strRef>
          </c:cat>
          <c:val>
            <c:numRef>
              <c:f>'Pivot Tables'!$E$83:$E$93</c:f>
              <c:numCache>
                <c:formatCode>General</c:formatCode>
                <c:ptCount val="10"/>
                <c:pt idx="0">
                  <c:v>0</c:v>
                </c:pt>
                <c:pt idx="1">
                  <c:v>3.2240000000000002</c:v>
                </c:pt>
                <c:pt idx="2">
                  <c:v>3.5150000000000001</c:v>
                </c:pt>
                <c:pt idx="3">
                  <c:v>3.2160000000000002</c:v>
                </c:pt>
                <c:pt idx="4">
                  <c:v>3.3690000000000002</c:v>
                </c:pt>
                <c:pt idx="5">
                  <c:v>3.3849999999999998</c:v>
                </c:pt>
                <c:pt idx="6">
                  <c:v>2.911</c:v>
                </c:pt>
                <c:pt idx="7">
                  <c:v>2.5649999999999999</c:v>
                </c:pt>
                <c:pt idx="8">
                  <c:v>3.7839999999999998</c:v>
                </c:pt>
                <c:pt idx="9">
                  <c:v>3.161</c:v>
                </c:pt>
              </c:numCache>
            </c:numRef>
          </c:val>
        </c:ser>
        <c:dLbls>
          <c:showLegendKey val="0"/>
          <c:showVal val="0"/>
          <c:showCatName val="0"/>
          <c:showSerName val="0"/>
          <c:showPercent val="0"/>
          <c:showBubbleSize val="0"/>
        </c:dLbls>
        <c:gapWidth val="219"/>
        <c:overlap val="-27"/>
        <c:axId val="222460544"/>
        <c:axId val="222478720"/>
      </c:barChart>
      <c:catAx>
        <c:axId val="222460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478720"/>
        <c:crosses val="autoZero"/>
        <c:auto val="1"/>
        <c:lblAlgn val="ctr"/>
        <c:lblOffset val="100"/>
        <c:noMultiLvlLbl val="0"/>
      </c:catAx>
      <c:valAx>
        <c:axId val="222478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460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Prototype- Dashboard.xlsx]Pivot Tables!PivotTable9</c:name>
    <c:fmtId val="15"/>
  </c:pivotSource>
  <c:chart>
    <c:title>
      <c:layout/>
      <c:overlay val="0"/>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
        <c:idx val="2"/>
        <c:spPr>
          <a:ln w="28575" cap="rnd">
            <a:solidFill>
              <a:schemeClr val="accent3"/>
            </a:solidFill>
            <a:round/>
          </a:ln>
          <a:effectLst/>
        </c:spPr>
        <c:marker>
          <c:symbol val="none"/>
        </c:marker>
      </c:pivotFmt>
      <c:pivotFmt>
        <c:idx val="3"/>
        <c:spPr>
          <a:solidFill>
            <a:schemeClr val="accent1"/>
          </a:solidFill>
          <a:ln w="28575" cap="rnd">
            <a:solidFill>
              <a:schemeClr val="accent1"/>
            </a:solidFill>
            <a:round/>
          </a:ln>
          <a:effectLst/>
        </c:spPr>
        <c:marker>
          <c:symbol val="none"/>
        </c:marker>
        <c:dLbl>
          <c:idx val="0"/>
          <c:delete val="1"/>
          <c:extLst xmlns:c16r2="http://schemas.microsoft.com/office/drawing/2015/06/chart">
            <c:ext xmlns:c15="http://schemas.microsoft.com/office/drawing/2012/chart" uri="{CE6537A1-D6FC-4f65-9D91-7224C49458BB}"/>
          </c:extLst>
        </c:dLbl>
      </c:pivotFmt>
    </c:pivotFmts>
    <c:plotArea>
      <c:layout/>
      <c:lineChart>
        <c:grouping val="standard"/>
        <c:varyColors val="0"/>
        <c:ser>
          <c:idx val="0"/>
          <c:order val="0"/>
          <c:tx>
            <c:strRef>
              <c:f>'Pivot Tables'!$C$96:$C$97</c:f>
              <c:strCache>
                <c:ptCount val="1"/>
                <c:pt idx="0">
                  <c:v>0 to 10v Dimming</c:v>
                </c:pt>
              </c:strCache>
            </c:strRef>
          </c:tx>
          <c:spPr>
            <a:ln w="28575" cap="rnd">
              <a:solidFill>
                <a:schemeClr val="accent1"/>
              </a:solidFill>
              <a:round/>
            </a:ln>
            <a:effectLst/>
          </c:spPr>
          <c:marker>
            <c:symbol val="none"/>
          </c:marker>
          <c:cat>
            <c:strRef>
              <c:f>'Pivot Tables'!$B$98:$B$108</c:f>
              <c:strCache>
                <c:ptCount val="10"/>
                <c:pt idx="0">
                  <c:v>10</c:v>
                </c:pt>
                <c:pt idx="1">
                  <c:v>20</c:v>
                </c:pt>
                <c:pt idx="2">
                  <c:v>30</c:v>
                </c:pt>
                <c:pt idx="3">
                  <c:v>40</c:v>
                </c:pt>
                <c:pt idx="4">
                  <c:v>50</c:v>
                </c:pt>
                <c:pt idx="5">
                  <c:v>60</c:v>
                </c:pt>
                <c:pt idx="6">
                  <c:v>70</c:v>
                </c:pt>
                <c:pt idx="7">
                  <c:v>80</c:v>
                </c:pt>
                <c:pt idx="8">
                  <c:v>90</c:v>
                </c:pt>
                <c:pt idx="9">
                  <c:v>100</c:v>
                </c:pt>
              </c:strCache>
            </c:strRef>
          </c:cat>
          <c:val>
            <c:numRef>
              <c:f>'Pivot Tables'!$C$98:$C$108</c:f>
              <c:numCache>
                <c:formatCode>General</c:formatCode>
                <c:ptCount val="10"/>
                <c:pt idx="0">
                  <c:v>146.25</c:v>
                </c:pt>
                <c:pt idx="1">
                  <c:v>146.25</c:v>
                </c:pt>
                <c:pt idx="2">
                  <c:v>146.25</c:v>
                </c:pt>
                <c:pt idx="3">
                  <c:v>146.25</c:v>
                </c:pt>
                <c:pt idx="4">
                  <c:v>146.25</c:v>
                </c:pt>
                <c:pt idx="5">
                  <c:v>146.25</c:v>
                </c:pt>
                <c:pt idx="6">
                  <c:v>146.25</c:v>
                </c:pt>
                <c:pt idx="7">
                  <c:v>146.25</c:v>
                </c:pt>
                <c:pt idx="8">
                  <c:v>146.25</c:v>
                </c:pt>
                <c:pt idx="9">
                  <c:v>146.25</c:v>
                </c:pt>
              </c:numCache>
            </c:numRef>
          </c:val>
          <c:smooth val="0"/>
          <c:extLst xmlns:c16r2="http://schemas.microsoft.com/office/drawing/2015/06/chart">
            <c:ext xmlns:c16="http://schemas.microsoft.com/office/drawing/2014/chart" uri="{C3380CC4-5D6E-409C-BE32-E72D297353CC}">
              <c16:uniqueId val="{00000000-99BA-49D5-A7CB-AA2D0985CFC8}"/>
            </c:ext>
          </c:extLst>
        </c:ser>
        <c:ser>
          <c:idx val="1"/>
          <c:order val="1"/>
          <c:tx>
            <c:strRef>
              <c:f>'Pivot Tables'!$D$96:$D$97</c:f>
              <c:strCache>
                <c:ptCount val="1"/>
                <c:pt idx="0">
                  <c:v>DALI Dimming</c:v>
                </c:pt>
              </c:strCache>
            </c:strRef>
          </c:tx>
          <c:spPr>
            <a:ln w="28575" cap="rnd">
              <a:solidFill>
                <a:schemeClr val="accent1"/>
              </a:solidFill>
              <a:round/>
            </a:ln>
            <a:effectLst/>
          </c:spPr>
          <c:marker>
            <c:symbol val="none"/>
          </c:marker>
          <c:cat>
            <c:strRef>
              <c:f>'Pivot Tables'!$B$98:$B$108</c:f>
              <c:strCache>
                <c:ptCount val="10"/>
                <c:pt idx="0">
                  <c:v>10</c:v>
                </c:pt>
                <c:pt idx="1">
                  <c:v>20</c:v>
                </c:pt>
                <c:pt idx="2">
                  <c:v>30</c:v>
                </c:pt>
                <c:pt idx="3">
                  <c:v>40</c:v>
                </c:pt>
                <c:pt idx="4">
                  <c:v>50</c:v>
                </c:pt>
                <c:pt idx="5">
                  <c:v>60</c:v>
                </c:pt>
                <c:pt idx="6">
                  <c:v>70</c:v>
                </c:pt>
                <c:pt idx="7">
                  <c:v>80</c:v>
                </c:pt>
                <c:pt idx="8">
                  <c:v>90</c:v>
                </c:pt>
                <c:pt idx="9">
                  <c:v>100</c:v>
                </c:pt>
              </c:strCache>
            </c:strRef>
          </c:cat>
          <c:val>
            <c:numRef>
              <c:f>'Pivot Tables'!$D$98:$D$108</c:f>
              <c:numCache>
                <c:formatCode>General</c:formatCode>
                <c:ptCount val="10"/>
                <c:pt idx="0">
                  <c:v>66.900000000000006</c:v>
                </c:pt>
                <c:pt idx="1">
                  <c:v>72.849999999999994</c:v>
                </c:pt>
                <c:pt idx="2">
                  <c:v>79.73</c:v>
                </c:pt>
                <c:pt idx="3">
                  <c:v>87.32</c:v>
                </c:pt>
                <c:pt idx="4">
                  <c:v>95.42</c:v>
                </c:pt>
                <c:pt idx="5">
                  <c:v>105.68</c:v>
                </c:pt>
                <c:pt idx="6">
                  <c:v>117.44</c:v>
                </c:pt>
                <c:pt idx="7">
                  <c:v>124.49</c:v>
                </c:pt>
                <c:pt idx="8">
                  <c:v>137.69999999999999</c:v>
                </c:pt>
                <c:pt idx="9">
                  <c:v>146.97999999999999</c:v>
                </c:pt>
              </c:numCache>
            </c:numRef>
          </c:val>
          <c:smooth val="0"/>
        </c:ser>
        <c:ser>
          <c:idx val="2"/>
          <c:order val="2"/>
          <c:tx>
            <c:strRef>
              <c:f>'Pivot Tables'!$E$96:$E$97</c:f>
              <c:strCache>
                <c:ptCount val="1"/>
                <c:pt idx="0">
                  <c:v>Phase Cut Dimming</c:v>
                </c:pt>
              </c:strCache>
            </c:strRef>
          </c:tx>
          <c:spPr>
            <a:ln w="28575" cap="rnd">
              <a:solidFill>
                <a:schemeClr val="accent3"/>
              </a:solidFill>
              <a:round/>
            </a:ln>
            <a:effectLst/>
          </c:spPr>
          <c:marker>
            <c:symbol val="none"/>
          </c:marker>
          <c:cat>
            <c:strRef>
              <c:f>'Pivot Tables'!$B$98:$B$108</c:f>
              <c:strCache>
                <c:ptCount val="10"/>
                <c:pt idx="0">
                  <c:v>10</c:v>
                </c:pt>
                <c:pt idx="1">
                  <c:v>20</c:v>
                </c:pt>
                <c:pt idx="2">
                  <c:v>30</c:v>
                </c:pt>
                <c:pt idx="3">
                  <c:v>40</c:v>
                </c:pt>
                <c:pt idx="4">
                  <c:v>50</c:v>
                </c:pt>
                <c:pt idx="5">
                  <c:v>60</c:v>
                </c:pt>
                <c:pt idx="6">
                  <c:v>70</c:v>
                </c:pt>
                <c:pt idx="7">
                  <c:v>80</c:v>
                </c:pt>
                <c:pt idx="8">
                  <c:v>90</c:v>
                </c:pt>
                <c:pt idx="9">
                  <c:v>100</c:v>
                </c:pt>
              </c:strCache>
            </c:strRef>
          </c:cat>
          <c:val>
            <c:numRef>
              <c:f>'Pivot Tables'!$E$98:$E$108</c:f>
              <c:numCache>
                <c:formatCode>General</c:formatCode>
                <c:ptCount val="10"/>
                <c:pt idx="0">
                  <c:v>0</c:v>
                </c:pt>
                <c:pt idx="1">
                  <c:v>16.899999999999999</c:v>
                </c:pt>
                <c:pt idx="2">
                  <c:v>29.4</c:v>
                </c:pt>
                <c:pt idx="3">
                  <c:v>68.8</c:v>
                </c:pt>
                <c:pt idx="4">
                  <c:v>82.6</c:v>
                </c:pt>
                <c:pt idx="5">
                  <c:v>122.2</c:v>
                </c:pt>
                <c:pt idx="6">
                  <c:v>130</c:v>
                </c:pt>
                <c:pt idx="7">
                  <c:v>184.2</c:v>
                </c:pt>
                <c:pt idx="8">
                  <c:v>210.2</c:v>
                </c:pt>
                <c:pt idx="9">
                  <c:v>135.84</c:v>
                </c:pt>
              </c:numCache>
            </c:numRef>
          </c:val>
          <c:smooth val="0"/>
        </c:ser>
        <c:dLbls>
          <c:showLegendKey val="0"/>
          <c:showVal val="0"/>
          <c:showCatName val="0"/>
          <c:showSerName val="0"/>
          <c:showPercent val="0"/>
          <c:showBubbleSize val="0"/>
        </c:dLbls>
        <c:marker val="1"/>
        <c:smooth val="0"/>
        <c:axId val="222192768"/>
        <c:axId val="222194304"/>
      </c:lineChart>
      <c:catAx>
        <c:axId val="222192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194304"/>
        <c:crosses val="autoZero"/>
        <c:auto val="1"/>
        <c:lblAlgn val="ctr"/>
        <c:lblOffset val="100"/>
        <c:noMultiLvlLbl val="0"/>
      </c:catAx>
      <c:valAx>
        <c:axId val="222194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1927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IN"/>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 Prototype- Dashboard.xlsx]Pivot Tables!PivotTable6</c:name>
    <c:fmtId val="4"/>
  </c:pivotSource>
  <c:chart>
    <c:title>
      <c:tx>
        <c:rich>
          <a:bodyPr rot="0" spcFirstLastPara="1" vertOverflow="ellipsis" vert="horz" wrap="square" anchor="ctr" anchorCtr="1"/>
          <a:lstStyle/>
          <a:p>
            <a:pPr algn="ctr" rtl="0">
              <a:defRPr lang="en-IN" sz="1600" b="1" i="0" u="none" strike="noStrike" kern="1200" spc="0" baseline="0">
                <a:solidFill>
                  <a:schemeClr val="tx1"/>
                </a:solidFill>
                <a:latin typeface="+mn-lt"/>
                <a:ea typeface="+mn-ea"/>
                <a:cs typeface="+mn-cs"/>
              </a:defRPr>
            </a:pPr>
            <a:r>
              <a:rPr lang="en-IN" sz="1600" b="1" i="0" u="none" strike="noStrike" kern="1200" spc="0" baseline="0">
                <a:solidFill>
                  <a:schemeClr val="tx1"/>
                </a:solidFill>
                <a:latin typeface="+mn-lt"/>
                <a:ea typeface="+mn-ea"/>
                <a:cs typeface="+mn-cs"/>
              </a:rPr>
              <a:t>Power Consumption by Intensity</a:t>
            </a:r>
          </a:p>
        </c:rich>
      </c:tx>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chemeClr val="accent1"/>
          </a:solidFill>
          <a:ln w="28575" cap="rnd">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ln w="28575" cap="rnd">
            <a:solidFill>
              <a:srgbClr val="CF763F"/>
            </a:solidFill>
            <a:round/>
          </a:ln>
          <a:effectLst/>
        </c:spPr>
        <c:marker>
          <c:symbol val="none"/>
        </c:marker>
      </c:pivotFmt>
      <c:pivotFmt>
        <c:idx val="4"/>
        <c:spPr>
          <a:ln w="28575" cap="rnd">
            <a:solidFill>
              <a:schemeClr val="accent4">
                <a:lumMod val="75000"/>
              </a:schemeClr>
            </a:solidFill>
            <a:round/>
          </a:ln>
          <a:effectLst/>
        </c:spPr>
        <c:marker>
          <c:symbol val="none"/>
        </c:marker>
      </c:pivotFmt>
      <c:pivotFmt>
        <c:idx val="5"/>
        <c:spPr>
          <a:ln w="28575" cap="rnd">
            <a:solidFill>
              <a:srgbClr val="C00000"/>
            </a:solidFill>
            <a:round/>
          </a:ln>
          <a:effectLst/>
        </c:spPr>
        <c:marker>
          <c:symbol val="none"/>
        </c:marker>
      </c:pivotFmt>
    </c:pivotFmts>
    <c:plotArea>
      <c:layout/>
      <c:lineChart>
        <c:grouping val="standard"/>
        <c:varyColors val="0"/>
        <c:ser>
          <c:idx val="0"/>
          <c:order val="0"/>
          <c:tx>
            <c:strRef>
              <c:f>'Pivot Tables'!$C$3:$C$4</c:f>
              <c:strCache>
                <c:ptCount val="1"/>
                <c:pt idx="0">
                  <c:v>0 to 10v Dimming</c:v>
                </c:pt>
              </c:strCache>
            </c:strRef>
          </c:tx>
          <c:spPr>
            <a:ln w="28575" cap="rnd">
              <a:solidFill>
                <a:srgbClr val="C00000"/>
              </a:solidFill>
              <a:round/>
            </a:ln>
            <a:effectLst/>
          </c:spPr>
          <c:marker>
            <c:symbol val="none"/>
          </c:marker>
          <c:cat>
            <c:strRef>
              <c:f>'Pivot Tables'!$B$5:$B$15</c:f>
              <c:strCache>
                <c:ptCount val="10"/>
                <c:pt idx="0">
                  <c:v>10</c:v>
                </c:pt>
                <c:pt idx="1">
                  <c:v>20</c:v>
                </c:pt>
                <c:pt idx="2">
                  <c:v>30</c:v>
                </c:pt>
                <c:pt idx="3">
                  <c:v>40</c:v>
                </c:pt>
                <c:pt idx="4">
                  <c:v>50</c:v>
                </c:pt>
                <c:pt idx="5">
                  <c:v>60</c:v>
                </c:pt>
                <c:pt idx="6">
                  <c:v>70</c:v>
                </c:pt>
                <c:pt idx="7">
                  <c:v>80</c:v>
                </c:pt>
                <c:pt idx="8">
                  <c:v>90</c:v>
                </c:pt>
                <c:pt idx="9">
                  <c:v>100</c:v>
                </c:pt>
              </c:strCache>
            </c:strRef>
          </c:cat>
          <c:val>
            <c:numRef>
              <c:f>'Pivot Tables'!$C$5:$C$15</c:f>
              <c:numCache>
                <c:formatCode>General</c:formatCode>
                <c:ptCount val="10"/>
                <c:pt idx="0">
                  <c:v>31.51</c:v>
                </c:pt>
                <c:pt idx="1">
                  <c:v>31.51</c:v>
                </c:pt>
                <c:pt idx="2">
                  <c:v>31.51</c:v>
                </c:pt>
                <c:pt idx="3">
                  <c:v>31.51</c:v>
                </c:pt>
                <c:pt idx="4">
                  <c:v>31.51</c:v>
                </c:pt>
                <c:pt idx="5">
                  <c:v>31.51</c:v>
                </c:pt>
                <c:pt idx="6">
                  <c:v>31.51</c:v>
                </c:pt>
                <c:pt idx="7">
                  <c:v>31.51</c:v>
                </c:pt>
                <c:pt idx="8">
                  <c:v>31.51</c:v>
                </c:pt>
                <c:pt idx="9">
                  <c:v>31.51</c:v>
                </c:pt>
              </c:numCache>
            </c:numRef>
          </c:val>
          <c:smooth val="0"/>
          <c:extLst xmlns:c16r2="http://schemas.microsoft.com/office/drawing/2015/06/chart">
            <c:ext xmlns:c16="http://schemas.microsoft.com/office/drawing/2014/chart" uri="{C3380CC4-5D6E-409C-BE32-E72D297353CC}">
              <c16:uniqueId val="{00000000-B8F6-45B0-93F2-0FF86BF937F8}"/>
            </c:ext>
          </c:extLst>
        </c:ser>
        <c:ser>
          <c:idx val="1"/>
          <c:order val="1"/>
          <c:tx>
            <c:strRef>
              <c:f>'Pivot Tables'!$D$3:$D$4</c:f>
              <c:strCache>
                <c:ptCount val="1"/>
                <c:pt idx="0">
                  <c:v>DALI Dimming</c:v>
                </c:pt>
              </c:strCache>
            </c:strRef>
          </c:tx>
          <c:spPr>
            <a:ln w="28575" cap="rnd">
              <a:solidFill>
                <a:srgbClr val="CF763F"/>
              </a:solidFill>
              <a:round/>
            </a:ln>
            <a:effectLst/>
          </c:spPr>
          <c:marker>
            <c:symbol val="none"/>
          </c:marker>
          <c:cat>
            <c:strRef>
              <c:f>'Pivot Tables'!$B$5:$B$15</c:f>
              <c:strCache>
                <c:ptCount val="10"/>
                <c:pt idx="0">
                  <c:v>10</c:v>
                </c:pt>
                <c:pt idx="1">
                  <c:v>20</c:v>
                </c:pt>
                <c:pt idx="2">
                  <c:v>30</c:v>
                </c:pt>
                <c:pt idx="3">
                  <c:v>40</c:v>
                </c:pt>
                <c:pt idx="4">
                  <c:v>50</c:v>
                </c:pt>
                <c:pt idx="5">
                  <c:v>60</c:v>
                </c:pt>
                <c:pt idx="6">
                  <c:v>70</c:v>
                </c:pt>
                <c:pt idx="7">
                  <c:v>80</c:v>
                </c:pt>
                <c:pt idx="8">
                  <c:v>90</c:v>
                </c:pt>
                <c:pt idx="9">
                  <c:v>100</c:v>
                </c:pt>
              </c:strCache>
            </c:strRef>
          </c:cat>
          <c:val>
            <c:numRef>
              <c:f>'Pivot Tables'!$D$5:$D$15</c:f>
              <c:numCache>
                <c:formatCode>General</c:formatCode>
                <c:ptCount val="10"/>
                <c:pt idx="0">
                  <c:v>3.87</c:v>
                </c:pt>
                <c:pt idx="1">
                  <c:v>6.71</c:v>
                </c:pt>
                <c:pt idx="2">
                  <c:v>9.32</c:v>
                </c:pt>
                <c:pt idx="3">
                  <c:v>12.21</c:v>
                </c:pt>
                <c:pt idx="4">
                  <c:v>14.95</c:v>
                </c:pt>
                <c:pt idx="5">
                  <c:v>18.16</c:v>
                </c:pt>
                <c:pt idx="6">
                  <c:v>21.59</c:v>
                </c:pt>
                <c:pt idx="7">
                  <c:v>23.65</c:v>
                </c:pt>
                <c:pt idx="8">
                  <c:v>27.27</c:v>
                </c:pt>
                <c:pt idx="9">
                  <c:v>29.54</c:v>
                </c:pt>
              </c:numCache>
            </c:numRef>
          </c:val>
          <c:smooth val="0"/>
        </c:ser>
        <c:ser>
          <c:idx val="2"/>
          <c:order val="2"/>
          <c:tx>
            <c:strRef>
              <c:f>'Pivot Tables'!$E$3:$E$4</c:f>
              <c:strCache>
                <c:ptCount val="1"/>
                <c:pt idx="0">
                  <c:v>Phase Cut Dimming</c:v>
                </c:pt>
              </c:strCache>
            </c:strRef>
          </c:tx>
          <c:spPr>
            <a:ln w="28575" cap="rnd">
              <a:solidFill>
                <a:schemeClr val="accent4">
                  <a:lumMod val="75000"/>
                </a:schemeClr>
              </a:solidFill>
              <a:round/>
            </a:ln>
            <a:effectLst/>
          </c:spPr>
          <c:marker>
            <c:symbol val="none"/>
          </c:marker>
          <c:cat>
            <c:strRef>
              <c:f>'Pivot Tables'!$B$5:$B$15</c:f>
              <c:strCache>
                <c:ptCount val="10"/>
                <c:pt idx="0">
                  <c:v>10</c:v>
                </c:pt>
                <c:pt idx="1">
                  <c:v>20</c:v>
                </c:pt>
                <c:pt idx="2">
                  <c:v>30</c:v>
                </c:pt>
                <c:pt idx="3">
                  <c:v>40</c:v>
                </c:pt>
                <c:pt idx="4">
                  <c:v>50</c:v>
                </c:pt>
                <c:pt idx="5">
                  <c:v>60</c:v>
                </c:pt>
                <c:pt idx="6">
                  <c:v>70</c:v>
                </c:pt>
                <c:pt idx="7">
                  <c:v>80</c:v>
                </c:pt>
                <c:pt idx="8">
                  <c:v>90</c:v>
                </c:pt>
                <c:pt idx="9">
                  <c:v>100</c:v>
                </c:pt>
              </c:strCache>
            </c:strRef>
          </c:cat>
          <c:val>
            <c:numRef>
              <c:f>'Pivot Tables'!$E$5:$E$15</c:f>
              <c:numCache>
                <c:formatCode>General</c:formatCode>
                <c:ptCount val="10"/>
                <c:pt idx="0">
                  <c:v>0</c:v>
                </c:pt>
                <c:pt idx="1">
                  <c:v>0.84</c:v>
                </c:pt>
                <c:pt idx="2">
                  <c:v>1.35</c:v>
                </c:pt>
                <c:pt idx="3">
                  <c:v>5.48</c:v>
                </c:pt>
                <c:pt idx="4">
                  <c:v>7.56</c:v>
                </c:pt>
                <c:pt idx="5">
                  <c:v>12.68</c:v>
                </c:pt>
                <c:pt idx="6">
                  <c:v>14</c:v>
                </c:pt>
                <c:pt idx="7">
                  <c:v>21.013999999999999</c:v>
                </c:pt>
                <c:pt idx="8">
                  <c:v>30.6</c:v>
                </c:pt>
                <c:pt idx="9">
                  <c:v>29.89</c:v>
                </c:pt>
              </c:numCache>
            </c:numRef>
          </c:val>
          <c:smooth val="0"/>
        </c:ser>
        <c:dLbls>
          <c:showLegendKey val="0"/>
          <c:showVal val="0"/>
          <c:showCatName val="0"/>
          <c:showSerName val="0"/>
          <c:showPercent val="0"/>
          <c:showBubbleSize val="0"/>
        </c:dLbls>
        <c:marker val="1"/>
        <c:smooth val="0"/>
        <c:axId val="222258688"/>
        <c:axId val="222260608"/>
      </c:lineChart>
      <c:catAx>
        <c:axId val="222258688"/>
        <c:scaling>
          <c:orientation val="minMax"/>
        </c:scaling>
        <c:delete val="0"/>
        <c:axPos val="b"/>
        <c:title>
          <c:tx>
            <c:rich>
              <a:bodyPr rot="0" spcFirstLastPara="1" vertOverflow="ellipsis" vert="horz" wrap="square" anchor="ctr" anchorCtr="1"/>
              <a:lstStyle/>
              <a:p>
                <a:pPr algn="ctr" rtl="0">
                  <a:defRPr lang="en-IN" sz="1100" b="1" i="0" u="none" strike="noStrike" kern="1200" baseline="0">
                    <a:solidFill>
                      <a:schemeClr val="tx1"/>
                    </a:solidFill>
                    <a:latin typeface="+mn-lt"/>
                    <a:ea typeface="+mn-ea"/>
                    <a:cs typeface="+mn-cs"/>
                  </a:defRPr>
                </a:pPr>
                <a:r>
                  <a:rPr lang="en-IN" sz="1100" b="1" i="0" u="none" strike="noStrike" kern="1200" baseline="0">
                    <a:solidFill>
                      <a:schemeClr val="tx1"/>
                    </a:solidFill>
                    <a:latin typeface="+mn-lt"/>
                    <a:ea typeface="+mn-ea"/>
                    <a:cs typeface="+mn-cs"/>
                  </a:rPr>
                  <a:t>Intensity (%)</a:t>
                </a:r>
              </a:p>
            </c:rich>
          </c:tx>
          <c:layout/>
          <c:overlay val="0"/>
          <c:spPr>
            <a:noFill/>
            <a:ln>
              <a:noFill/>
            </a:ln>
            <a:effectLst/>
          </c:sp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1" i="0" u="none" strike="noStrike" kern="1200" baseline="0">
                <a:solidFill>
                  <a:schemeClr val="tx1"/>
                </a:solidFill>
                <a:latin typeface="+mn-lt"/>
                <a:ea typeface="+mn-ea"/>
                <a:cs typeface="+mn-cs"/>
              </a:defRPr>
            </a:pPr>
            <a:endParaRPr lang="en-US"/>
          </a:p>
        </c:txPr>
        <c:crossAx val="222260608"/>
        <c:crosses val="autoZero"/>
        <c:auto val="1"/>
        <c:lblAlgn val="ctr"/>
        <c:lblOffset val="100"/>
        <c:noMultiLvlLbl val="0"/>
      </c:catAx>
      <c:valAx>
        <c:axId val="222260608"/>
        <c:scaling>
          <c:orientation val="minMax"/>
        </c:scaling>
        <c:delete val="0"/>
        <c:axPos val="l"/>
        <c:title>
          <c:tx>
            <c:rich>
              <a:bodyPr rot="-5400000" spcFirstLastPara="1" vertOverflow="ellipsis" vert="horz" wrap="square" anchor="ctr" anchorCtr="1"/>
              <a:lstStyle/>
              <a:p>
                <a:pPr algn="ctr" rtl="0">
                  <a:defRPr lang="en-IN" sz="1100" b="1" i="0" u="none" strike="noStrike" kern="1200" baseline="0">
                    <a:solidFill>
                      <a:schemeClr val="tx1"/>
                    </a:solidFill>
                    <a:latin typeface="+mn-lt"/>
                    <a:ea typeface="+mn-ea"/>
                    <a:cs typeface="+mn-cs"/>
                  </a:defRPr>
                </a:pPr>
                <a:r>
                  <a:rPr lang="en-IN" sz="1100" b="1" i="0" u="none" strike="noStrike" kern="1200" baseline="0">
                    <a:solidFill>
                      <a:schemeClr val="tx1"/>
                    </a:solidFill>
                    <a:latin typeface="+mn-lt"/>
                    <a:ea typeface="+mn-ea"/>
                    <a:cs typeface="+mn-cs"/>
                  </a:rPr>
                  <a:t>Power (W)</a:t>
                </a:r>
              </a:p>
            </c:rich>
          </c:tx>
          <c:layout/>
          <c:overlay val="0"/>
          <c:spPr>
            <a:noFill/>
            <a:ln>
              <a:noFill/>
            </a:ln>
            <a:effectLst/>
          </c:sp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1000" b="1" i="0" u="none" strike="noStrike" kern="1200" baseline="0">
                <a:solidFill>
                  <a:schemeClr val="tx1"/>
                </a:solidFill>
                <a:latin typeface="+mn-lt"/>
                <a:ea typeface="+mn-ea"/>
                <a:cs typeface="+mn-cs"/>
              </a:defRPr>
            </a:pPr>
            <a:endParaRPr lang="en-US"/>
          </a:p>
        </c:txPr>
        <c:crossAx val="2222586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IN"/>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 Prototype- Dashboard.xlsx]Pivot Tables!PivotTable7</c:name>
    <c:fmtId val="6"/>
  </c:pivotSource>
  <c:chart>
    <c:title>
      <c:tx>
        <c:rich>
          <a:bodyPr rot="0" spcFirstLastPara="1" vertOverflow="ellipsis" vert="horz" wrap="square" anchor="ctr" anchorCtr="1"/>
          <a:lstStyle/>
          <a:p>
            <a:pPr algn="ctr" rtl="0">
              <a:defRPr lang="en-US" sz="1600" b="1" i="0" u="none" strike="noStrike" kern="1200" spc="0" baseline="0">
                <a:solidFill>
                  <a:schemeClr val="tx1"/>
                </a:solidFill>
                <a:latin typeface="+mn-lt"/>
                <a:ea typeface="+mn-ea"/>
                <a:cs typeface="+mn-cs"/>
              </a:defRPr>
            </a:pPr>
            <a:r>
              <a:rPr lang="en-US" sz="1600" b="1" i="0" u="none" strike="noStrike" kern="1200" spc="0" baseline="0">
                <a:solidFill>
                  <a:schemeClr val="tx1"/>
                </a:solidFill>
                <a:latin typeface="+mn-lt"/>
                <a:ea typeface="+mn-ea"/>
                <a:cs typeface="+mn-cs"/>
              </a:rPr>
              <a:t>Lux By Intensity</a:t>
            </a:r>
          </a:p>
        </c:rich>
      </c:tx>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rgbClr val="C00000"/>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3"/>
        <c:spPr>
          <a:solidFill>
            <a:srgbClr val="CF763F"/>
          </a:solidFill>
          <a:ln>
            <a:noFill/>
          </a:ln>
          <a:effectLst/>
        </c:spPr>
        <c:marker>
          <c:symbol val="none"/>
        </c:marker>
      </c:pivotFmt>
      <c:pivotFmt>
        <c:idx val="4"/>
        <c:spPr>
          <a:solidFill>
            <a:schemeClr val="accent4">
              <a:lumMod val="75000"/>
              <a:alpha val="98000"/>
            </a:schemeClr>
          </a:solidFill>
          <a:ln>
            <a:noFill/>
          </a:ln>
          <a:effectLst/>
        </c:spPr>
        <c:marker>
          <c:symbol val="none"/>
        </c:marker>
      </c:pivotFmt>
      <c:pivotFmt>
        <c:idx val="5"/>
        <c:spPr>
          <a:solidFill>
            <a:srgbClr val="C00000"/>
          </a:solidFill>
          <a:ln>
            <a:noFill/>
          </a:ln>
          <a:effectLst/>
        </c:spPr>
        <c:marker>
          <c:symbol val="none"/>
        </c:marker>
      </c:pivotFmt>
    </c:pivotFmts>
    <c:plotArea>
      <c:layout/>
      <c:barChart>
        <c:barDir val="bar"/>
        <c:grouping val="clustered"/>
        <c:varyColors val="0"/>
        <c:ser>
          <c:idx val="0"/>
          <c:order val="0"/>
          <c:tx>
            <c:strRef>
              <c:f>'Pivot Tables'!$C$24:$C$25</c:f>
              <c:strCache>
                <c:ptCount val="1"/>
                <c:pt idx="0">
                  <c:v>0 to 10v Dimming</c:v>
                </c:pt>
              </c:strCache>
            </c:strRef>
          </c:tx>
          <c:spPr>
            <a:solidFill>
              <a:srgbClr val="C00000"/>
            </a:solidFill>
            <a:ln>
              <a:noFill/>
            </a:ln>
            <a:effectLst/>
          </c:spPr>
          <c:invertIfNegative val="0"/>
          <c:cat>
            <c:strRef>
              <c:f>'Pivot Tables'!$B$26:$B$36</c:f>
              <c:strCache>
                <c:ptCount val="10"/>
                <c:pt idx="0">
                  <c:v>10</c:v>
                </c:pt>
                <c:pt idx="1">
                  <c:v>20</c:v>
                </c:pt>
                <c:pt idx="2">
                  <c:v>30</c:v>
                </c:pt>
                <c:pt idx="3">
                  <c:v>40</c:v>
                </c:pt>
                <c:pt idx="4">
                  <c:v>50</c:v>
                </c:pt>
                <c:pt idx="5">
                  <c:v>60</c:v>
                </c:pt>
                <c:pt idx="6">
                  <c:v>70</c:v>
                </c:pt>
                <c:pt idx="7">
                  <c:v>80</c:v>
                </c:pt>
                <c:pt idx="8">
                  <c:v>90</c:v>
                </c:pt>
                <c:pt idx="9">
                  <c:v>100</c:v>
                </c:pt>
              </c:strCache>
            </c:strRef>
          </c:cat>
          <c:val>
            <c:numRef>
              <c:f>'Pivot Tables'!$C$26:$C$36</c:f>
              <c:numCache>
                <c:formatCode>General</c:formatCode>
                <c:ptCount val="10"/>
                <c:pt idx="0">
                  <c:v>200</c:v>
                </c:pt>
                <c:pt idx="1">
                  <c:v>400</c:v>
                </c:pt>
                <c:pt idx="2">
                  <c:v>500</c:v>
                </c:pt>
                <c:pt idx="3">
                  <c:v>800</c:v>
                </c:pt>
                <c:pt idx="4">
                  <c:v>1000</c:v>
                </c:pt>
                <c:pt idx="5">
                  <c:v>1200</c:v>
                </c:pt>
                <c:pt idx="6">
                  <c:v>1400</c:v>
                </c:pt>
                <c:pt idx="7">
                  <c:v>1600</c:v>
                </c:pt>
                <c:pt idx="8">
                  <c:v>1800</c:v>
                </c:pt>
                <c:pt idx="9">
                  <c:v>1900</c:v>
                </c:pt>
              </c:numCache>
            </c:numRef>
          </c:val>
          <c:extLst xmlns:c16r2="http://schemas.microsoft.com/office/drawing/2015/06/chart">
            <c:ext xmlns:c16="http://schemas.microsoft.com/office/drawing/2014/chart" uri="{C3380CC4-5D6E-409C-BE32-E72D297353CC}">
              <c16:uniqueId val="{00000000-8ABD-47B0-AFB0-CC7B260A08CB}"/>
            </c:ext>
          </c:extLst>
        </c:ser>
        <c:ser>
          <c:idx val="1"/>
          <c:order val="1"/>
          <c:tx>
            <c:strRef>
              <c:f>'Pivot Tables'!$D$24:$D$25</c:f>
              <c:strCache>
                <c:ptCount val="1"/>
                <c:pt idx="0">
                  <c:v>DALI Dimming</c:v>
                </c:pt>
              </c:strCache>
            </c:strRef>
          </c:tx>
          <c:spPr>
            <a:solidFill>
              <a:srgbClr val="CF763F"/>
            </a:solidFill>
            <a:ln>
              <a:noFill/>
            </a:ln>
            <a:effectLst/>
          </c:spPr>
          <c:invertIfNegative val="0"/>
          <c:cat>
            <c:strRef>
              <c:f>'Pivot Tables'!$B$26:$B$36</c:f>
              <c:strCache>
                <c:ptCount val="10"/>
                <c:pt idx="0">
                  <c:v>10</c:v>
                </c:pt>
                <c:pt idx="1">
                  <c:v>20</c:v>
                </c:pt>
                <c:pt idx="2">
                  <c:v>30</c:v>
                </c:pt>
                <c:pt idx="3">
                  <c:v>40</c:v>
                </c:pt>
                <c:pt idx="4">
                  <c:v>50</c:v>
                </c:pt>
                <c:pt idx="5">
                  <c:v>60</c:v>
                </c:pt>
                <c:pt idx="6">
                  <c:v>70</c:v>
                </c:pt>
                <c:pt idx="7">
                  <c:v>80</c:v>
                </c:pt>
                <c:pt idx="8">
                  <c:v>90</c:v>
                </c:pt>
                <c:pt idx="9">
                  <c:v>100</c:v>
                </c:pt>
              </c:strCache>
            </c:strRef>
          </c:cat>
          <c:val>
            <c:numRef>
              <c:f>'Pivot Tables'!$D$26:$D$36</c:f>
              <c:numCache>
                <c:formatCode>General</c:formatCode>
                <c:ptCount val="10"/>
                <c:pt idx="0">
                  <c:v>700</c:v>
                </c:pt>
                <c:pt idx="1">
                  <c:v>1000</c:v>
                </c:pt>
                <c:pt idx="2">
                  <c:v>1400</c:v>
                </c:pt>
                <c:pt idx="3">
                  <c:v>1800</c:v>
                </c:pt>
                <c:pt idx="4">
                  <c:v>2100</c:v>
                </c:pt>
                <c:pt idx="5">
                  <c:v>2300</c:v>
                </c:pt>
                <c:pt idx="6">
                  <c:v>2500</c:v>
                </c:pt>
                <c:pt idx="7">
                  <c:v>2700</c:v>
                </c:pt>
                <c:pt idx="8">
                  <c:v>2900</c:v>
                </c:pt>
                <c:pt idx="9">
                  <c:v>3200</c:v>
                </c:pt>
              </c:numCache>
            </c:numRef>
          </c:val>
        </c:ser>
        <c:ser>
          <c:idx val="2"/>
          <c:order val="2"/>
          <c:tx>
            <c:strRef>
              <c:f>'Pivot Tables'!$E$24:$E$25</c:f>
              <c:strCache>
                <c:ptCount val="1"/>
                <c:pt idx="0">
                  <c:v>Phase Cut Dimming</c:v>
                </c:pt>
              </c:strCache>
            </c:strRef>
          </c:tx>
          <c:spPr>
            <a:solidFill>
              <a:schemeClr val="accent4">
                <a:lumMod val="75000"/>
                <a:alpha val="98000"/>
              </a:schemeClr>
            </a:solidFill>
            <a:ln>
              <a:noFill/>
            </a:ln>
            <a:effectLst/>
          </c:spPr>
          <c:invertIfNegative val="0"/>
          <c:cat>
            <c:strRef>
              <c:f>'Pivot Tables'!$B$26:$B$36</c:f>
              <c:strCache>
                <c:ptCount val="10"/>
                <c:pt idx="0">
                  <c:v>10</c:v>
                </c:pt>
                <c:pt idx="1">
                  <c:v>20</c:v>
                </c:pt>
                <c:pt idx="2">
                  <c:v>30</c:v>
                </c:pt>
                <c:pt idx="3">
                  <c:v>40</c:v>
                </c:pt>
                <c:pt idx="4">
                  <c:v>50</c:v>
                </c:pt>
                <c:pt idx="5">
                  <c:v>60</c:v>
                </c:pt>
                <c:pt idx="6">
                  <c:v>70</c:v>
                </c:pt>
                <c:pt idx="7">
                  <c:v>80</c:v>
                </c:pt>
                <c:pt idx="8">
                  <c:v>90</c:v>
                </c:pt>
                <c:pt idx="9">
                  <c:v>100</c:v>
                </c:pt>
              </c:strCache>
            </c:strRef>
          </c:cat>
          <c:val>
            <c:numRef>
              <c:f>'Pivot Tables'!$E$26:$E$36</c:f>
              <c:numCache>
                <c:formatCode>General</c:formatCode>
                <c:ptCount val="10"/>
                <c:pt idx="0">
                  <c:v>0</c:v>
                </c:pt>
                <c:pt idx="1">
                  <c:v>25</c:v>
                </c:pt>
                <c:pt idx="2">
                  <c:v>62</c:v>
                </c:pt>
                <c:pt idx="3">
                  <c:v>100</c:v>
                </c:pt>
                <c:pt idx="4">
                  <c:v>400</c:v>
                </c:pt>
                <c:pt idx="5">
                  <c:v>500</c:v>
                </c:pt>
                <c:pt idx="6">
                  <c:v>1100</c:v>
                </c:pt>
                <c:pt idx="7">
                  <c:v>1600</c:v>
                </c:pt>
                <c:pt idx="8">
                  <c:v>2300</c:v>
                </c:pt>
                <c:pt idx="9">
                  <c:v>2500</c:v>
                </c:pt>
              </c:numCache>
            </c:numRef>
          </c:val>
        </c:ser>
        <c:dLbls>
          <c:showLegendKey val="0"/>
          <c:showVal val="0"/>
          <c:showCatName val="0"/>
          <c:showSerName val="0"/>
          <c:showPercent val="0"/>
          <c:showBubbleSize val="0"/>
        </c:dLbls>
        <c:gapWidth val="150"/>
        <c:overlap val="-15"/>
        <c:axId val="222830976"/>
        <c:axId val="222832896"/>
      </c:barChart>
      <c:catAx>
        <c:axId val="222830976"/>
        <c:scaling>
          <c:orientation val="minMax"/>
        </c:scaling>
        <c:delete val="0"/>
        <c:axPos val="l"/>
        <c:title>
          <c:tx>
            <c:rich>
              <a:bodyPr rot="-5400000" spcFirstLastPara="1" vertOverflow="ellipsis" vert="horz" wrap="square" anchor="ctr" anchorCtr="1"/>
              <a:lstStyle/>
              <a:p>
                <a:pPr algn="ctr" rtl="0">
                  <a:defRPr lang="en-IN" sz="1100" b="1" i="0" u="none" strike="noStrike" kern="1200" baseline="0">
                    <a:solidFill>
                      <a:schemeClr val="tx1"/>
                    </a:solidFill>
                    <a:latin typeface="+mn-lt"/>
                    <a:ea typeface="+mn-ea"/>
                    <a:cs typeface="+mn-cs"/>
                  </a:defRPr>
                </a:pPr>
                <a:r>
                  <a:rPr lang="en-IN" sz="1100" b="1" i="0" u="none" strike="noStrike" kern="1200" baseline="0">
                    <a:solidFill>
                      <a:schemeClr val="tx1"/>
                    </a:solidFill>
                    <a:latin typeface="+mn-lt"/>
                    <a:ea typeface="+mn-ea"/>
                    <a:cs typeface="+mn-cs"/>
                  </a:rPr>
                  <a:t>Intensity (%)</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1" i="0" u="none" strike="noStrike" kern="1200" baseline="0">
                <a:solidFill>
                  <a:schemeClr val="tx1"/>
                </a:solidFill>
                <a:latin typeface="+mn-lt"/>
                <a:ea typeface="+mn-ea"/>
                <a:cs typeface="+mn-cs"/>
              </a:defRPr>
            </a:pPr>
            <a:endParaRPr lang="en-US"/>
          </a:p>
        </c:txPr>
        <c:crossAx val="222832896"/>
        <c:crosses val="autoZero"/>
        <c:auto val="1"/>
        <c:lblAlgn val="ctr"/>
        <c:lblOffset val="100"/>
        <c:noMultiLvlLbl val="0"/>
      </c:catAx>
      <c:valAx>
        <c:axId val="222832896"/>
        <c:scaling>
          <c:orientation val="minMax"/>
        </c:scaling>
        <c:delete val="0"/>
        <c:axPos val="b"/>
        <c:title>
          <c:tx>
            <c:rich>
              <a:bodyPr rot="0" spcFirstLastPara="1" vertOverflow="ellipsis" vert="horz" wrap="square" anchor="ctr" anchorCtr="1"/>
              <a:lstStyle/>
              <a:p>
                <a:pPr algn="ctr" rtl="0">
                  <a:defRPr lang="en-IN" sz="1100" b="1" i="0" u="none" strike="noStrike" kern="1200" baseline="0">
                    <a:solidFill>
                      <a:schemeClr val="tx1"/>
                    </a:solidFill>
                    <a:latin typeface="+mn-lt"/>
                    <a:ea typeface="+mn-ea"/>
                    <a:cs typeface="+mn-cs"/>
                  </a:defRPr>
                </a:pPr>
                <a:r>
                  <a:rPr lang="en-IN" sz="1100" b="1" i="0" u="none" strike="noStrike" kern="1200" baseline="0">
                    <a:solidFill>
                      <a:schemeClr val="tx1"/>
                    </a:solidFill>
                    <a:latin typeface="+mn-lt"/>
                    <a:ea typeface="+mn-ea"/>
                    <a:cs typeface="+mn-cs"/>
                  </a:rPr>
                  <a:t>Lux (Lumen)</a:t>
                </a:r>
              </a:p>
            </c:rich>
          </c:tx>
          <c:layout/>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0" b="1" i="0" u="none" strike="noStrike" kern="1200" baseline="0">
                <a:solidFill>
                  <a:schemeClr val="tx1"/>
                </a:solidFill>
                <a:latin typeface="+mn-lt"/>
                <a:ea typeface="+mn-ea"/>
                <a:cs typeface="+mn-cs"/>
              </a:defRPr>
            </a:pPr>
            <a:endParaRPr lang="en-US"/>
          </a:p>
        </c:txPr>
        <c:crossAx val="2228309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IN"/>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 Prototype- Dashboard.xlsx]Pivot Tables!PivotTable9</c:name>
    <c:fmtId val="10"/>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chemeClr val="tx1"/>
                </a:solidFill>
              </a:rPr>
              <a:t>Current By Intensity</a:t>
            </a:r>
            <a:endParaRPr lang="en-US" sz="1600" b="1">
              <a:solidFill>
                <a:schemeClr val="tx1"/>
              </a:solidFill>
            </a:endParaRPr>
          </a:p>
        </c:rich>
      </c:tx>
      <c:layout/>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chemeClr val="accent1"/>
          </a:solidFill>
          <a:ln w="28575" cap="rnd">
            <a:solidFill>
              <a:srgbClr val="C00000"/>
            </a:solidFill>
            <a:round/>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3"/>
        <c:spPr>
          <a:ln w="28575" cap="rnd">
            <a:solidFill>
              <a:srgbClr val="CF763F"/>
            </a:solidFill>
            <a:round/>
          </a:ln>
          <a:effectLst/>
        </c:spPr>
        <c:marker>
          <c:symbol val="none"/>
        </c:marker>
      </c:pivotFmt>
      <c:pivotFmt>
        <c:idx val="4"/>
        <c:spPr>
          <a:ln w="28575" cap="rnd">
            <a:solidFill>
              <a:schemeClr val="accent4">
                <a:lumMod val="75000"/>
              </a:schemeClr>
            </a:solidFill>
            <a:round/>
          </a:ln>
          <a:effectLst/>
        </c:spPr>
        <c:marker>
          <c:symbol val="none"/>
        </c:marker>
      </c:pivotFmt>
      <c:pivotFmt>
        <c:idx val="5"/>
        <c:spPr>
          <a:solidFill>
            <a:schemeClr val="accent1"/>
          </a:solidFill>
          <a:ln w="28575" cap="rnd">
            <a:solidFill>
              <a:schemeClr val="accent1"/>
            </a:solidFill>
            <a:round/>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6"/>
        <c:spPr>
          <a:ln w="28575" cap="rnd">
            <a:solidFill>
              <a:srgbClr val="C00000"/>
            </a:solidFill>
            <a:round/>
          </a:ln>
          <a:effectLst/>
        </c:spPr>
        <c:marker>
          <c:symbol val="none"/>
        </c:marker>
      </c:pivotFmt>
    </c:pivotFmts>
    <c:plotArea>
      <c:layout>
        <c:manualLayout>
          <c:layoutTarget val="inner"/>
          <c:xMode val="edge"/>
          <c:yMode val="edge"/>
          <c:x val="0.15700046419023972"/>
          <c:y val="0.11255005138706212"/>
          <c:w val="0.60943197515743319"/>
          <c:h val="0.74865873939474004"/>
        </c:manualLayout>
      </c:layout>
      <c:lineChart>
        <c:grouping val="standard"/>
        <c:varyColors val="0"/>
        <c:ser>
          <c:idx val="0"/>
          <c:order val="0"/>
          <c:tx>
            <c:strRef>
              <c:f>'Pivot Tables'!$C$96:$C$97</c:f>
              <c:strCache>
                <c:ptCount val="1"/>
                <c:pt idx="0">
                  <c:v>0 to 10v Dimming</c:v>
                </c:pt>
              </c:strCache>
            </c:strRef>
          </c:tx>
          <c:spPr>
            <a:ln w="28575" cap="rnd">
              <a:solidFill>
                <a:srgbClr val="C00000"/>
              </a:solidFill>
              <a:round/>
            </a:ln>
            <a:effectLst/>
          </c:spPr>
          <c:marker>
            <c:symbol val="none"/>
          </c:marker>
          <c:cat>
            <c:strRef>
              <c:f>'Pivot Tables'!$B$98:$B$108</c:f>
              <c:strCache>
                <c:ptCount val="10"/>
                <c:pt idx="0">
                  <c:v>10</c:v>
                </c:pt>
                <c:pt idx="1">
                  <c:v>20</c:v>
                </c:pt>
                <c:pt idx="2">
                  <c:v>30</c:v>
                </c:pt>
                <c:pt idx="3">
                  <c:v>40</c:v>
                </c:pt>
                <c:pt idx="4">
                  <c:v>50</c:v>
                </c:pt>
                <c:pt idx="5">
                  <c:v>60</c:v>
                </c:pt>
                <c:pt idx="6">
                  <c:v>70</c:v>
                </c:pt>
                <c:pt idx="7">
                  <c:v>80</c:v>
                </c:pt>
                <c:pt idx="8">
                  <c:v>90</c:v>
                </c:pt>
                <c:pt idx="9">
                  <c:v>100</c:v>
                </c:pt>
              </c:strCache>
            </c:strRef>
          </c:cat>
          <c:val>
            <c:numRef>
              <c:f>'Pivot Tables'!$C$98:$C$108</c:f>
              <c:numCache>
                <c:formatCode>General</c:formatCode>
                <c:ptCount val="10"/>
                <c:pt idx="0">
                  <c:v>146.25</c:v>
                </c:pt>
                <c:pt idx="1">
                  <c:v>146.25</c:v>
                </c:pt>
                <c:pt idx="2">
                  <c:v>146.25</c:v>
                </c:pt>
                <c:pt idx="3">
                  <c:v>146.25</c:v>
                </c:pt>
                <c:pt idx="4">
                  <c:v>146.25</c:v>
                </c:pt>
                <c:pt idx="5">
                  <c:v>146.25</c:v>
                </c:pt>
                <c:pt idx="6">
                  <c:v>146.25</c:v>
                </c:pt>
                <c:pt idx="7">
                  <c:v>146.25</c:v>
                </c:pt>
                <c:pt idx="8">
                  <c:v>146.25</c:v>
                </c:pt>
                <c:pt idx="9">
                  <c:v>146.25</c:v>
                </c:pt>
              </c:numCache>
            </c:numRef>
          </c:val>
          <c:smooth val="0"/>
          <c:extLst xmlns:c16r2="http://schemas.microsoft.com/office/drawing/2015/06/chart">
            <c:ext xmlns:c16="http://schemas.microsoft.com/office/drawing/2014/chart" uri="{C3380CC4-5D6E-409C-BE32-E72D297353CC}">
              <c16:uniqueId val="{00000000-E0C4-469E-A1DC-B1427A4687ED}"/>
            </c:ext>
          </c:extLst>
        </c:ser>
        <c:ser>
          <c:idx val="1"/>
          <c:order val="1"/>
          <c:tx>
            <c:strRef>
              <c:f>'Pivot Tables'!$D$96:$D$97</c:f>
              <c:strCache>
                <c:ptCount val="1"/>
                <c:pt idx="0">
                  <c:v>DALI Dimming</c:v>
                </c:pt>
              </c:strCache>
            </c:strRef>
          </c:tx>
          <c:spPr>
            <a:ln w="28575" cap="rnd">
              <a:solidFill>
                <a:srgbClr val="CF763F"/>
              </a:solidFill>
              <a:round/>
            </a:ln>
            <a:effectLst/>
          </c:spPr>
          <c:marker>
            <c:symbol val="none"/>
          </c:marker>
          <c:cat>
            <c:strRef>
              <c:f>'Pivot Tables'!$B$98:$B$108</c:f>
              <c:strCache>
                <c:ptCount val="10"/>
                <c:pt idx="0">
                  <c:v>10</c:v>
                </c:pt>
                <c:pt idx="1">
                  <c:v>20</c:v>
                </c:pt>
                <c:pt idx="2">
                  <c:v>30</c:v>
                </c:pt>
                <c:pt idx="3">
                  <c:v>40</c:v>
                </c:pt>
                <c:pt idx="4">
                  <c:v>50</c:v>
                </c:pt>
                <c:pt idx="5">
                  <c:v>60</c:v>
                </c:pt>
                <c:pt idx="6">
                  <c:v>70</c:v>
                </c:pt>
                <c:pt idx="7">
                  <c:v>80</c:v>
                </c:pt>
                <c:pt idx="8">
                  <c:v>90</c:v>
                </c:pt>
                <c:pt idx="9">
                  <c:v>100</c:v>
                </c:pt>
              </c:strCache>
            </c:strRef>
          </c:cat>
          <c:val>
            <c:numRef>
              <c:f>'Pivot Tables'!$D$98:$D$108</c:f>
              <c:numCache>
                <c:formatCode>General</c:formatCode>
                <c:ptCount val="10"/>
                <c:pt idx="0">
                  <c:v>66.900000000000006</c:v>
                </c:pt>
                <c:pt idx="1">
                  <c:v>72.849999999999994</c:v>
                </c:pt>
                <c:pt idx="2">
                  <c:v>79.73</c:v>
                </c:pt>
                <c:pt idx="3">
                  <c:v>87.32</c:v>
                </c:pt>
                <c:pt idx="4">
                  <c:v>95.42</c:v>
                </c:pt>
                <c:pt idx="5">
                  <c:v>105.68</c:v>
                </c:pt>
                <c:pt idx="6">
                  <c:v>117.44</c:v>
                </c:pt>
                <c:pt idx="7">
                  <c:v>124.49</c:v>
                </c:pt>
                <c:pt idx="8">
                  <c:v>137.69999999999999</c:v>
                </c:pt>
                <c:pt idx="9">
                  <c:v>146.97999999999999</c:v>
                </c:pt>
              </c:numCache>
            </c:numRef>
          </c:val>
          <c:smooth val="0"/>
        </c:ser>
        <c:ser>
          <c:idx val="2"/>
          <c:order val="2"/>
          <c:tx>
            <c:strRef>
              <c:f>'Pivot Tables'!$E$96:$E$97</c:f>
              <c:strCache>
                <c:ptCount val="1"/>
                <c:pt idx="0">
                  <c:v>Phase Cut Dimming</c:v>
                </c:pt>
              </c:strCache>
            </c:strRef>
          </c:tx>
          <c:spPr>
            <a:ln w="28575" cap="rnd">
              <a:solidFill>
                <a:schemeClr val="accent4">
                  <a:lumMod val="75000"/>
                </a:schemeClr>
              </a:solidFill>
              <a:round/>
            </a:ln>
            <a:effectLst/>
          </c:spPr>
          <c:marker>
            <c:symbol val="none"/>
          </c:marker>
          <c:cat>
            <c:strRef>
              <c:f>'Pivot Tables'!$B$98:$B$108</c:f>
              <c:strCache>
                <c:ptCount val="10"/>
                <c:pt idx="0">
                  <c:v>10</c:v>
                </c:pt>
                <c:pt idx="1">
                  <c:v>20</c:v>
                </c:pt>
                <c:pt idx="2">
                  <c:v>30</c:v>
                </c:pt>
                <c:pt idx="3">
                  <c:v>40</c:v>
                </c:pt>
                <c:pt idx="4">
                  <c:v>50</c:v>
                </c:pt>
                <c:pt idx="5">
                  <c:v>60</c:v>
                </c:pt>
                <c:pt idx="6">
                  <c:v>70</c:v>
                </c:pt>
                <c:pt idx="7">
                  <c:v>80</c:v>
                </c:pt>
                <c:pt idx="8">
                  <c:v>90</c:v>
                </c:pt>
                <c:pt idx="9">
                  <c:v>100</c:v>
                </c:pt>
              </c:strCache>
            </c:strRef>
          </c:cat>
          <c:val>
            <c:numRef>
              <c:f>'Pivot Tables'!$E$98:$E$108</c:f>
              <c:numCache>
                <c:formatCode>General</c:formatCode>
                <c:ptCount val="10"/>
                <c:pt idx="0">
                  <c:v>0</c:v>
                </c:pt>
                <c:pt idx="1">
                  <c:v>16.899999999999999</c:v>
                </c:pt>
                <c:pt idx="2">
                  <c:v>29.4</c:v>
                </c:pt>
                <c:pt idx="3">
                  <c:v>68.8</c:v>
                </c:pt>
                <c:pt idx="4">
                  <c:v>82.6</c:v>
                </c:pt>
                <c:pt idx="5">
                  <c:v>122.2</c:v>
                </c:pt>
                <c:pt idx="6">
                  <c:v>130</c:v>
                </c:pt>
                <c:pt idx="7">
                  <c:v>184.2</c:v>
                </c:pt>
                <c:pt idx="8">
                  <c:v>210.2</c:v>
                </c:pt>
                <c:pt idx="9">
                  <c:v>135.84</c:v>
                </c:pt>
              </c:numCache>
            </c:numRef>
          </c:val>
          <c:smooth val="0"/>
        </c:ser>
        <c:dLbls>
          <c:showLegendKey val="0"/>
          <c:showVal val="0"/>
          <c:showCatName val="0"/>
          <c:showSerName val="0"/>
          <c:showPercent val="0"/>
          <c:showBubbleSize val="0"/>
        </c:dLbls>
        <c:marker val="1"/>
        <c:smooth val="0"/>
        <c:axId val="222571136"/>
        <c:axId val="222581504"/>
      </c:lineChart>
      <c:catAx>
        <c:axId val="222571136"/>
        <c:scaling>
          <c:orientation val="minMax"/>
        </c:scaling>
        <c:delete val="0"/>
        <c:axPos val="b"/>
        <c:title>
          <c:tx>
            <c:rich>
              <a:bodyPr rot="0" spcFirstLastPara="1" vertOverflow="ellipsis" vert="horz" wrap="square" anchor="ctr" anchorCtr="1"/>
              <a:lstStyle/>
              <a:p>
                <a:pPr algn="ctr" rtl="0">
                  <a:defRPr lang="en-IN" sz="1100" b="1" i="0" u="none" strike="noStrike" kern="1200" baseline="0">
                    <a:solidFill>
                      <a:schemeClr val="tx1"/>
                    </a:solidFill>
                    <a:latin typeface="+mn-lt"/>
                    <a:ea typeface="+mn-ea"/>
                    <a:cs typeface="+mn-cs"/>
                  </a:defRPr>
                </a:pPr>
                <a:r>
                  <a:rPr lang="en-IN" sz="1100" b="1" i="0" u="none" strike="noStrike" kern="1200" baseline="0">
                    <a:solidFill>
                      <a:schemeClr val="tx1"/>
                    </a:solidFill>
                    <a:latin typeface="+mn-lt"/>
                    <a:ea typeface="+mn-ea"/>
                    <a:cs typeface="+mn-cs"/>
                  </a:rPr>
                  <a:t>Intensity (%)</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222581504"/>
        <c:crosses val="autoZero"/>
        <c:auto val="1"/>
        <c:lblAlgn val="ctr"/>
        <c:lblOffset val="100"/>
        <c:noMultiLvlLbl val="0"/>
      </c:catAx>
      <c:valAx>
        <c:axId val="222581504"/>
        <c:scaling>
          <c:orientation val="minMax"/>
        </c:scaling>
        <c:delete val="0"/>
        <c:axPos val="l"/>
        <c:title>
          <c:tx>
            <c:rich>
              <a:bodyPr rot="-5400000" spcFirstLastPara="1" vertOverflow="ellipsis" vert="horz" wrap="square" anchor="ctr" anchorCtr="1"/>
              <a:lstStyle/>
              <a:p>
                <a:pPr>
                  <a:defRPr sz="1100" b="1" i="0" u="none" strike="noStrike" kern="1200" baseline="0">
                    <a:solidFill>
                      <a:schemeClr val="tx1"/>
                    </a:solidFill>
                    <a:latin typeface="+mn-lt"/>
                    <a:ea typeface="+mn-ea"/>
                    <a:cs typeface="+mn-cs"/>
                  </a:defRPr>
                </a:pPr>
                <a:r>
                  <a:rPr lang="en-IN" sz="1100" b="1">
                    <a:solidFill>
                      <a:schemeClr val="tx1"/>
                    </a:solidFill>
                  </a:rPr>
                  <a:t>Current</a:t>
                </a:r>
                <a:r>
                  <a:rPr lang="en-IN" sz="1100" b="1" baseline="0">
                    <a:solidFill>
                      <a:schemeClr val="tx1"/>
                    </a:solidFill>
                  </a:rPr>
                  <a:t> (mA)</a:t>
                </a:r>
                <a:endParaRPr lang="en-IN" sz="1100" b="1">
                  <a:solidFill>
                    <a:schemeClr val="tx1"/>
                  </a:solidFill>
                </a:endParaRPr>
              </a:p>
            </c:rich>
          </c:tx>
          <c:layout/>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222571136"/>
        <c:crosses val="autoZero"/>
        <c:crossBetween val="between"/>
      </c:valAx>
      <c:spPr>
        <a:noFill/>
        <a:ln>
          <a:noFill/>
        </a:ln>
        <a:effectLst/>
      </c:spPr>
    </c:plotArea>
    <c:legend>
      <c:legendPos val="r"/>
      <c:layout>
        <c:manualLayout>
          <c:xMode val="edge"/>
          <c:yMode val="edge"/>
          <c:x val="0.7105701180631393"/>
          <c:y val="0.4040694899261808"/>
          <c:w val="0.24430506657950365"/>
          <c:h val="0.17077484339337165"/>
        </c:manualLayout>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95000"/>
          <a:lumOff val="5000"/>
          <a:alpha val="86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IN"/>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 Prototype- Dashboard.xlsx]Pivot Tables!PivotTable8</c:name>
    <c:fmtId val="13"/>
  </c:pivotSource>
  <c:chart>
    <c:title>
      <c:tx>
        <c:rich>
          <a:bodyPr rot="0" spcFirstLastPara="1" vertOverflow="ellipsis" vert="horz" wrap="square" anchor="ctr" anchorCtr="1"/>
          <a:lstStyle/>
          <a:p>
            <a:pPr algn="ctr" rtl="0">
              <a:defRPr lang="en-IN" sz="1600" b="1" i="0" u="none" strike="noStrike" kern="1200" spc="0" baseline="0">
                <a:solidFill>
                  <a:schemeClr val="tx1"/>
                </a:solidFill>
                <a:latin typeface="+mn-lt"/>
                <a:ea typeface="+mn-ea"/>
                <a:cs typeface="+mn-cs"/>
              </a:defRPr>
            </a:pPr>
            <a:r>
              <a:rPr lang="en-IN" sz="1600" b="1" i="0" u="none" strike="noStrike" kern="1200" spc="0" baseline="0">
                <a:solidFill>
                  <a:schemeClr val="tx1"/>
                </a:solidFill>
                <a:latin typeface="+mn-lt"/>
                <a:ea typeface="+mn-ea"/>
                <a:cs typeface="+mn-cs"/>
              </a:rPr>
              <a:t>Harmonics - 3rd By Intensity</a:t>
            </a:r>
          </a:p>
        </c:rich>
      </c:tx>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6"/>
        <c:spPr>
          <a:solidFill>
            <a:srgbClr val="C00000"/>
          </a:solidFill>
          <a:ln>
            <a:noFill/>
          </a:ln>
          <a:effectLst/>
        </c:spPr>
        <c:marker>
          <c:symbol val="none"/>
        </c:marker>
      </c:pivotFmt>
      <c:pivotFmt>
        <c:idx val="7"/>
        <c:spPr>
          <a:solidFill>
            <a:srgbClr val="CF763F"/>
          </a:solidFill>
          <a:ln>
            <a:noFill/>
          </a:ln>
          <a:effectLst/>
        </c:spPr>
        <c:marker>
          <c:symbol val="none"/>
        </c:marker>
      </c:pivotFmt>
      <c:pivotFmt>
        <c:idx val="8"/>
        <c:spPr>
          <a:solidFill>
            <a:schemeClr val="accent4">
              <a:lumMod val="75000"/>
            </a:schemeClr>
          </a:solidFill>
          <a:ln>
            <a:noFill/>
          </a:ln>
          <a:effectLst/>
        </c:spPr>
        <c:marker>
          <c:symbol val="none"/>
        </c:marker>
      </c:pivotFmt>
      <c:pivotFmt>
        <c:idx val="9"/>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s>
    <c:plotArea>
      <c:layout/>
      <c:barChart>
        <c:barDir val="col"/>
        <c:grouping val="clustered"/>
        <c:varyColors val="0"/>
        <c:ser>
          <c:idx val="0"/>
          <c:order val="0"/>
          <c:tx>
            <c:strRef>
              <c:f>'Pivot Tables'!$C$44:$C$45</c:f>
              <c:strCache>
                <c:ptCount val="1"/>
                <c:pt idx="0">
                  <c:v>0 to 10v Dimming</c:v>
                </c:pt>
              </c:strCache>
            </c:strRef>
          </c:tx>
          <c:spPr>
            <a:solidFill>
              <a:srgbClr val="C00000"/>
            </a:solidFill>
            <a:ln>
              <a:noFill/>
            </a:ln>
            <a:effectLst/>
          </c:spPr>
          <c:invertIfNegative val="0"/>
          <c:cat>
            <c:strRef>
              <c:f>'Pivot Tables'!$B$46:$B$56</c:f>
              <c:strCache>
                <c:ptCount val="10"/>
                <c:pt idx="0">
                  <c:v>10</c:v>
                </c:pt>
                <c:pt idx="1">
                  <c:v>20</c:v>
                </c:pt>
                <c:pt idx="2">
                  <c:v>30</c:v>
                </c:pt>
                <c:pt idx="3">
                  <c:v>40</c:v>
                </c:pt>
                <c:pt idx="4">
                  <c:v>50</c:v>
                </c:pt>
                <c:pt idx="5">
                  <c:v>60</c:v>
                </c:pt>
                <c:pt idx="6">
                  <c:v>70</c:v>
                </c:pt>
                <c:pt idx="7">
                  <c:v>80</c:v>
                </c:pt>
                <c:pt idx="8">
                  <c:v>90</c:v>
                </c:pt>
                <c:pt idx="9">
                  <c:v>100</c:v>
                </c:pt>
              </c:strCache>
            </c:strRef>
          </c:cat>
          <c:val>
            <c:numRef>
              <c:f>'Pivot Tables'!$C$46:$C$56</c:f>
              <c:numCache>
                <c:formatCode>General</c:formatCode>
                <c:ptCount val="10"/>
                <c:pt idx="0">
                  <c:v>8.0980000000000008</c:v>
                </c:pt>
                <c:pt idx="1">
                  <c:v>8.5730000000000004</c:v>
                </c:pt>
                <c:pt idx="2">
                  <c:v>8.1679999999999993</c:v>
                </c:pt>
                <c:pt idx="3">
                  <c:v>8.0370000000000008</c:v>
                </c:pt>
                <c:pt idx="4">
                  <c:v>8.1280000000000001</c:v>
                </c:pt>
                <c:pt idx="5">
                  <c:v>7.9930000000000003</c:v>
                </c:pt>
                <c:pt idx="6">
                  <c:v>8.0129999999999999</c:v>
                </c:pt>
                <c:pt idx="7">
                  <c:v>8.1199999999999992</c:v>
                </c:pt>
                <c:pt idx="8">
                  <c:v>7.8040000000000003</c:v>
                </c:pt>
                <c:pt idx="9">
                  <c:v>8.2040000000000006</c:v>
                </c:pt>
              </c:numCache>
            </c:numRef>
          </c:val>
          <c:extLst xmlns:c16r2="http://schemas.microsoft.com/office/drawing/2015/06/chart">
            <c:ext xmlns:c16="http://schemas.microsoft.com/office/drawing/2014/chart" uri="{C3380CC4-5D6E-409C-BE32-E72D297353CC}">
              <c16:uniqueId val="{00000000-8F00-4F3E-8623-0740C6199917}"/>
            </c:ext>
          </c:extLst>
        </c:ser>
        <c:ser>
          <c:idx val="1"/>
          <c:order val="1"/>
          <c:tx>
            <c:strRef>
              <c:f>'Pivot Tables'!$D$44:$D$45</c:f>
              <c:strCache>
                <c:ptCount val="1"/>
                <c:pt idx="0">
                  <c:v>DALI Dimming</c:v>
                </c:pt>
              </c:strCache>
            </c:strRef>
          </c:tx>
          <c:spPr>
            <a:solidFill>
              <a:srgbClr val="CF763F"/>
            </a:solidFill>
            <a:ln>
              <a:noFill/>
            </a:ln>
            <a:effectLst/>
          </c:spPr>
          <c:invertIfNegative val="0"/>
          <c:cat>
            <c:strRef>
              <c:f>'Pivot Tables'!$B$46:$B$56</c:f>
              <c:strCache>
                <c:ptCount val="10"/>
                <c:pt idx="0">
                  <c:v>10</c:v>
                </c:pt>
                <c:pt idx="1">
                  <c:v>20</c:v>
                </c:pt>
                <c:pt idx="2">
                  <c:v>30</c:v>
                </c:pt>
                <c:pt idx="3">
                  <c:v>40</c:v>
                </c:pt>
                <c:pt idx="4">
                  <c:v>50</c:v>
                </c:pt>
                <c:pt idx="5">
                  <c:v>60</c:v>
                </c:pt>
                <c:pt idx="6">
                  <c:v>70</c:v>
                </c:pt>
                <c:pt idx="7">
                  <c:v>80</c:v>
                </c:pt>
                <c:pt idx="8">
                  <c:v>90</c:v>
                </c:pt>
                <c:pt idx="9">
                  <c:v>100</c:v>
                </c:pt>
              </c:strCache>
            </c:strRef>
          </c:cat>
          <c:val>
            <c:numRef>
              <c:f>'Pivot Tables'!$D$46:$D$56</c:f>
              <c:numCache>
                <c:formatCode>General</c:formatCode>
                <c:ptCount val="10"/>
                <c:pt idx="0">
                  <c:v>1.1459999999999999</c:v>
                </c:pt>
                <c:pt idx="1">
                  <c:v>0.97</c:v>
                </c:pt>
                <c:pt idx="2">
                  <c:v>1.139</c:v>
                </c:pt>
                <c:pt idx="3">
                  <c:v>1.089</c:v>
                </c:pt>
                <c:pt idx="4">
                  <c:v>1.044</c:v>
                </c:pt>
                <c:pt idx="5">
                  <c:v>1.101</c:v>
                </c:pt>
                <c:pt idx="6">
                  <c:v>1.048</c:v>
                </c:pt>
                <c:pt idx="7">
                  <c:v>1.0860000000000001</c:v>
                </c:pt>
                <c:pt idx="8">
                  <c:v>1.044</c:v>
                </c:pt>
                <c:pt idx="9">
                  <c:v>1.167</c:v>
                </c:pt>
              </c:numCache>
            </c:numRef>
          </c:val>
        </c:ser>
        <c:ser>
          <c:idx val="2"/>
          <c:order val="2"/>
          <c:tx>
            <c:strRef>
              <c:f>'Pivot Tables'!$E$44:$E$45</c:f>
              <c:strCache>
                <c:ptCount val="1"/>
                <c:pt idx="0">
                  <c:v>Phase Cut Dimming</c:v>
                </c:pt>
              </c:strCache>
            </c:strRef>
          </c:tx>
          <c:spPr>
            <a:solidFill>
              <a:schemeClr val="accent4">
                <a:lumMod val="75000"/>
              </a:schemeClr>
            </a:solidFill>
            <a:ln>
              <a:noFill/>
            </a:ln>
            <a:effectLst/>
          </c:spPr>
          <c:invertIfNegative val="0"/>
          <c:cat>
            <c:strRef>
              <c:f>'Pivot Tables'!$B$46:$B$56</c:f>
              <c:strCache>
                <c:ptCount val="10"/>
                <c:pt idx="0">
                  <c:v>10</c:v>
                </c:pt>
                <c:pt idx="1">
                  <c:v>20</c:v>
                </c:pt>
                <c:pt idx="2">
                  <c:v>30</c:v>
                </c:pt>
                <c:pt idx="3">
                  <c:v>40</c:v>
                </c:pt>
                <c:pt idx="4">
                  <c:v>50</c:v>
                </c:pt>
                <c:pt idx="5">
                  <c:v>60</c:v>
                </c:pt>
                <c:pt idx="6">
                  <c:v>70</c:v>
                </c:pt>
                <c:pt idx="7">
                  <c:v>80</c:v>
                </c:pt>
                <c:pt idx="8">
                  <c:v>90</c:v>
                </c:pt>
                <c:pt idx="9">
                  <c:v>100</c:v>
                </c:pt>
              </c:strCache>
            </c:strRef>
          </c:cat>
          <c:val>
            <c:numRef>
              <c:f>'Pivot Tables'!$E$46:$E$56</c:f>
              <c:numCache>
                <c:formatCode>General</c:formatCode>
                <c:ptCount val="10"/>
                <c:pt idx="0">
                  <c:v>0</c:v>
                </c:pt>
                <c:pt idx="1">
                  <c:v>12.752000000000001</c:v>
                </c:pt>
                <c:pt idx="2">
                  <c:v>12.784000000000001</c:v>
                </c:pt>
                <c:pt idx="3">
                  <c:v>12.476000000000001</c:v>
                </c:pt>
                <c:pt idx="4">
                  <c:v>12.821</c:v>
                </c:pt>
                <c:pt idx="5">
                  <c:v>12.933</c:v>
                </c:pt>
                <c:pt idx="6">
                  <c:v>13.102</c:v>
                </c:pt>
                <c:pt idx="7">
                  <c:v>13.433999999999999</c:v>
                </c:pt>
                <c:pt idx="8">
                  <c:v>13.053000000000001</c:v>
                </c:pt>
                <c:pt idx="9">
                  <c:v>12.747999999999999</c:v>
                </c:pt>
              </c:numCache>
            </c:numRef>
          </c:val>
        </c:ser>
        <c:dLbls>
          <c:showLegendKey val="0"/>
          <c:showVal val="0"/>
          <c:showCatName val="0"/>
          <c:showSerName val="0"/>
          <c:showPercent val="0"/>
          <c:showBubbleSize val="0"/>
        </c:dLbls>
        <c:gapWidth val="150"/>
        <c:overlap val="-15"/>
        <c:axId val="222670848"/>
        <c:axId val="222672768"/>
      </c:barChart>
      <c:catAx>
        <c:axId val="222670848"/>
        <c:scaling>
          <c:orientation val="minMax"/>
        </c:scaling>
        <c:delete val="0"/>
        <c:axPos val="b"/>
        <c:title>
          <c:tx>
            <c:rich>
              <a:bodyPr rot="0" spcFirstLastPara="1" vertOverflow="ellipsis" vert="horz" wrap="square" anchor="ctr" anchorCtr="1"/>
              <a:lstStyle/>
              <a:p>
                <a:pPr algn="ctr" rtl="0">
                  <a:defRPr lang="en-IN" sz="1100" b="1" i="0" u="none" strike="noStrike" kern="1200" baseline="0">
                    <a:solidFill>
                      <a:schemeClr val="tx1"/>
                    </a:solidFill>
                    <a:latin typeface="+mn-lt"/>
                    <a:ea typeface="+mn-ea"/>
                    <a:cs typeface="+mn-cs"/>
                  </a:defRPr>
                </a:pPr>
                <a:r>
                  <a:rPr lang="en-IN" sz="1100" b="1" i="0" u="none" strike="noStrike" kern="1200" baseline="0">
                    <a:solidFill>
                      <a:schemeClr val="tx1"/>
                    </a:solidFill>
                    <a:latin typeface="+mn-lt"/>
                    <a:ea typeface="+mn-ea"/>
                    <a:cs typeface="+mn-cs"/>
                  </a:rPr>
                  <a:t>Intensity (%)</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1" i="0" u="none" strike="noStrike" kern="1200" baseline="0">
                <a:solidFill>
                  <a:schemeClr val="tx1"/>
                </a:solidFill>
                <a:latin typeface="+mn-lt"/>
                <a:ea typeface="+mn-ea"/>
                <a:cs typeface="+mn-cs"/>
              </a:defRPr>
            </a:pPr>
            <a:endParaRPr lang="en-US"/>
          </a:p>
        </c:txPr>
        <c:crossAx val="222672768"/>
        <c:crosses val="autoZero"/>
        <c:auto val="1"/>
        <c:lblAlgn val="ctr"/>
        <c:lblOffset val="100"/>
        <c:noMultiLvlLbl val="0"/>
      </c:catAx>
      <c:valAx>
        <c:axId val="222672768"/>
        <c:scaling>
          <c:orientation val="minMax"/>
        </c:scaling>
        <c:delete val="0"/>
        <c:axPos val="l"/>
        <c:title>
          <c:tx>
            <c:rich>
              <a:bodyPr rot="-5400000" spcFirstLastPara="1" vertOverflow="ellipsis" vert="horz" wrap="square" anchor="ctr" anchorCtr="1"/>
              <a:lstStyle/>
              <a:p>
                <a:pPr algn="ctr" rtl="0">
                  <a:defRPr lang="en-IN" sz="1100" b="1" i="0" u="none" strike="noStrike" kern="1200" baseline="0">
                    <a:solidFill>
                      <a:schemeClr val="tx1"/>
                    </a:solidFill>
                    <a:latin typeface="+mn-lt"/>
                    <a:ea typeface="+mn-ea"/>
                    <a:cs typeface="+mn-cs"/>
                  </a:defRPr>
                </a:pPr>
                <a:r>
                  <a:rPr lang="en-IN" sz="1100" b="1" i="0" u="none" strike="noStrike" kern="1200" baseline="0">
                    <a:solidFill>
                      <a:schemeClr val="tx1"/>
                    </a:solidFill>
                    <a:latin typeface="+mn-lt"/>
                    <a:ea typeface="+mn-ea"/>
                    <a:cs typeface="+mn-cs"/>
                  </a:rPr>
                  <a:t>Harmonics - 3rd</a:t>
                </a:r>
              </a:p>
            </c:rich>
          </c:tx>
          <c:layout/>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0" b="1" i="0" u="none" strike="noStrike" kern="1200" baseline="0">
                <a:solidFill>
                  <a:schemeClr val="tx1"/>
                </a:solidFill>
                <a:latin typeface="+mn-lt"/>
                <a:ea typeface="+mn-ea"/>
                <a:cs typeface="+mn-cs"/>
              </a:defRPr>
            </a:pPr>
            <a:endParaRPr lang="en-US"/>
          </a:p>
        </c:txPr>
        <c:crossAx val="2226708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IN"/>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 Prototype- Dashboard.xlsx]Pivot Tables!PivotTable10</c:name>
    <c:fmtId val="13"/>
  </c:pivotSource>
  <c:chart>
    <c:title>
      <c:tx>
        <c:rich>
          <a:bodyPr rot="0" vert="horz"/>
          <a:lstStyle/>
          <a:p>
            <a:pPr algn="ctr" rtl="0">
              <a:defRPr/>
            </a:pPr>
            <a:r>
              <a:rPr lang="en-IN"/>
              <a:t>Harmonics - 5th By Intensity</a:t>
            </a:r>
          </a:p>
        </c:rich>
      </c:tx>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6"/>
        <c:spPr>
          <a:solidFill>
            <a:srgbClr val="C00000"/>
          </a:solidFill>
          <a:ln>
            <a:noFill/>
          </a:ln>
          <a:effectLst/>
        </c:spPr>
        <c:marker>
          <c:symbol val="none"/>
        </c:marker>
      </c:pivotFmt>
      <c:pivotFmt>
        <c:idx val="7"/>
        <c:spPr>
          <a:solidFill>
            <a:srgbClr val="CF763F"/>
          </a:solidFill>
          <a:ln>
            <a:noFill/>
          </a:ln>
          <a:effectLst/>
        </c:spPr>
        <c:marker>
          <c:symbol val="none"/>
        </c:marker>
      </c:pivotFmt>
      <c:pivotFmt>
        <c:idx val="8"/>
        <c:spPr>
          <a:solidFill>
            <a:schemeClr val="accent4">
              <a:lumMod val="75000"/>
            </a:schemeClr>
          </a:solidFill>
          <a:ln>
            <a:noFill/>
          </a:ln>
          <a:effectLst/>
        </c:spPr>
        <c:marker>
          <c:symbol val="none"/>
        </c:marker>
      </c:pivotFmt>
      <c:pivotFmt>
        <c:idx val="9"/>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s>
    <c:plotArea>
      <c:layout/>
      <c:barChart>
        <c:barDir val="col"/>
        <c:grouping val="clustered"/>
        <c:varyColors val="0"/>
        <c:ser>
          <c:idx val="0"/>
          <c:order val="0"/>
          <c:tx>
            <c:strRef>
              <c:f>'Pivot Tables'!$C$64:$C$65</c:f>
              <c:strCache>
                <c:ptCount val="1"/>
                <c:pt idx="0">
                  <c:v>0 to 10v Dimming</c:v>
                </c:pt>
              </c:strCache>
            </c:strRef>
          </c:tx>
          <c:spPr>
            <a:solidFill>
              <a:srgbClr val="C00000"/>
            </a:solidFill>
            <a:ln>
              <a:noFill/>
            </a:ln>
            <a:effectLst/>
          </c:spPr>
          <c:invertIfNegative val="0"/>
          <c:cat>
            <c:strRef>
              <c:f>'Pivot Tables'!$B$66:$B$76</c:f>
              <c:strCache>
                <c:ptCount val="10"/>
                <c:pt idx="0">
                  <c:v>10</c:v>
                </c:pt>
                <c:pt idx="1">
                  <c:v>20</c:v>
                </c:pt>
                <c:pt idx="2">
                  <c:v>30</c:v>
                </c:pt>
                <c:pt idx="3">
                  <c:v>40</c:v>
                </c:pt>
                <c:pt idx="4">
                  <c:v>50</c:v>
                </c:pt>
                <c:pt idx="5">
                  <c:v>60</c:v>
                </c:pt>
                <c:pt idx="6">
                  <c:v>70</c:v>
                </c:pt>
                <c:pt idx="7">
                  <c:v>80</c:v>
                </c:pt>
                <c:pt idx="8">
                  <c:v>90</c:v>
                </c:pt>
                <c:pt idx="9">
                  <c:v>100</c:v>
                </c:pt>
              </c:strCache>
            </c:strRef>
          </c:cat>
          <c:val>
            <c:numRef>
              <c:f>'Pivot Tables'!$C$66:$C$76</c:f>
              <c:numCache>
                <c:formatCode>General</c:formatCode>
                <c:ptCount val="10"/>
                <c:pt idx="0">
                  <c:v>1.1859999999999999</c:v>
                </c:pt>
                <c:pt idx="1">
                  <c:v>1.5840000000000001</c:v>
                </c:pt>
                <c:pt idx="2">
                  <c:v>1.1539999999999999</c:v>
                </c:pt>
                <c:pt idx="3">
                  <c:v>1.288</c:v>
                </c:pt>
                <c:pt idx="4">
                  <c:v>1.2030000000000001</c:v>
                </c:pt>
                <c:pt idx="5">
                  <c:v>1.1040000000000001</c:v>
                </c:pt>
                <c:pt idx="6">
                  <c:v>1.2490000000000001</c:v>
                </c:pt>
                <c:pt idx="7">
                  <c:v>1.1519999999999999</c:v>
                </c:pt>
                <c:pt idx="8">
                  <c:v>1.38</c:v>
                </c:pt>
                <c:pt idx="9">
                  <c:v>1.3879999999999999</c:v>
                </c:pt>
              </c:numCache>
            </c:numRef>
          </c:val>
          <c:extLst xmlns:c16r2="http://schemas.microsoft.com/office/drawing/2015/06/chart">
            <c:ext xmlns:c16="http://schemas.microsoft.com/office/drawing/2014/chart" uri="{C3380CC4-5D6E-409C-BE32-E72D297353CC}">
              <c16:uniqueId val="{00000000-F5E5-4B78-8345-E49E47B5AEE3}"/>
            </c:ext>
          </c:extLst>
        </c:ser>
        <c:ser>
          <c:idx val="1"/>
          <c:order val="1"/>
          <c:tx>
            <c:strRef>
              <c:f>'Pivot Tables'!$D$64:$D$65</c:f>
              <c:strCache>
                <c:ptCount val="1"/>
                <c:pt idx="0">
                  <c:v>DALI Dimming</c:v>
                </c:pt>
              </c:strCache>
            </c:strRef>
          </c:tx>
          <c:spPr>
            <a:solidFill>
              <a:srgbClr val="CF763F"/>
            </a:solidFill>
            <a:ln>
              <a:noFill/>
            </a:ln>
            <a:effectLst/>
          </c:spPr>
          <c:invertIfNegative val="0"/>
          <c:cat>
            <c:strRef>
              <c:f>'Pivot Tables'!$B$66:$B$76</c:f>
              <c:strCache>
                <c:ptCount val="10"/>
                <c:pt idx="0">
                  <c:v>10</c:v>
                </c:pt>
                <c:pt idx="1">
                  <c:v>20</c:v>
                </c:pt>
                <c:pt idx="2">
                  <c:v>30</c:v>
                </c:pt>
                <c:pt idx="3">
                  <c:v>40</c:v>
                </c:pt>
                <c:pt idx="4">
                  <c:v>50</c:v>
                </c:pt>
                <c:pt idx="5">
                  <c:v>60</c:v>
                </c:pt>
                <c:pt idx="6">
                  <c:v>70</c:v>
                </c:pt>
                <c:pt idx="7">
                  <c:v>80</c:v>
                </c:pt>
                <c:pt idx="8">
                  <c:v>90</c:v>
                </c:pt>
                <c:pt idx="9">
                  <c:v>100</c:v>
                </c:pt>
              </c:strCache>
            </c:strRef>
          </c:cat>
          <c:val>
            <c:numRef>
              <c:f>'Pivot Tables'!$D$66:$D$76</c:f>
              <c:numCache>
                <c:formatCode>General</c:formatCode>
                <c:ptCount val="10"/>
                <c:pt idx="0">
                  <c:v>0.70299999999999996</c:v>
                </c:pt>
                <c:pt idx="1">
                  <c:v>0.622</c:v>
                </c:pt>
                <c:pt idx="2">
                  <c:v>0.52400000000000002</c:v>
                </c:pt>
                <c:pt idx="3">
                  <c:v>0.54700000000000004</c:v>
                </c:pt>
                <c:pt idx="4">
                  <c:v>0.57699999999999996</c:v>
                </c:pt>
                <c:pt idx="5">
                  <c:v>0.53900000000000003</c:v>
                </c:pt>
                <c:pt idx="6">
                  <c:v>0.53</c:v>
                </c:pt>
                <c:pt idx="7">
                  <c:v>0.58099999999999996</c:v>
                </c:pt>
                <c:pt idx="8">
                  <c:v>0.45900000000000002</c:v>
                </c:pt>
                <c:pt idx="9">
                  <c:v>0.621</c:v>
                </c:pt>
              </c:numCache>
            </c:numRef>
          </c:val>
        </c:ser>
        <c:ser>
          <c:idx val="2"/>
          <c:order val="2"/>
          <c:tx>
            <c:strRef>
              <c:f>'Pivot Tables'!$E$64:$E$65</c:f>
              <c:strCache>
                <c:ptCount val="1"/>
                <c:pt idx="0">
                  <c:v>Phase Cut Dimming</c:v>
                </c:pt>
              </c:strCache>
            </c:strRef>
          </c:tx>
          <c:spPr>
            <a:solidFill>
              <a:schemeClr val="accent4">
                <a:lumMod val="75000"/>
              </a:schemeClr>
            </a:solidFill>
            <a:ln>
              <a:noFill/>
            </a:ln>
            <a:effectLst/>
          </c:spPr>
          <c:invertIfNegative val="0"/>
          <c:cat>
            <c:strRef>
              <c:f>'Pivot Tables'!$B$66:$B$76</c:f>
              <c:strCache>
                <c:ptCount val="10"/>
                <c:pt idx="0">
                  <c:v>10</c:v>
                </c:pt>
                <c:pt idx="1">
                  <c:v>20</c:v>
                </c:pt>
                <c:pt idx="2">
                  <c:v>30</c:v>
                </c:pt>
                <c:pt idx="3">
                  <c:v>40</c:v>
                </c:pt>
                <c:pt idx="4">
                  <c:v>50</c:v>
                </c:pt>
                <c:pt idx="5">
                  <c:v>60</c:v>
                </c:pt>
                <c:pt idx="6">
                  <c:v>70</c:v>
                </c:pt>
                <c:pt idx="7">
                  <c:v>80</c:v>
                </c:pt>
                <c:pt idx="8">
                  <c:v>90</c:v>
                </c:pt>
                <c:pt idx="9">
                  <c:v>100</c:v>
                </c:pt>
              </c:strCache>
            </c:strRef>
          </c:cat>
          <c:val>
            <c:numRef>
              <c:f>'Pivot Tables'!$E$66:$E$76</c:f>
              <c:numCache>
                <c:formatCode>General</c:formatCode>
                <c:ptCount val="10"/>
                <c:pt idx="0">
                  <c:v>0</c:v>
                </c:pt>
                <c:pt idx="1">
                  <c:v>1.5840000000000001</c:v>
                </c:pt>
                <c:pt idx="2">
                  <c:v>1.7410000000000001</c:v>
                </c:pt>
                <c:pt idx="3">
                  <c:v>1.6950000000000001</c:v>
                </c:pt>
                <c:pt idx="4">
                  <c:v>1.8480000000000001</c:v>
                </c:pt>
                <c:pt idx="5">
                  <c:v>1.7989999999999999</c:v>
                </c:pt>
                <c:pt idx="6">
                  <c:v>1.369</c:v>
                </c:pt>
                <c:pt idx="7">
                  <c:v>1.097</c:v>
                </c:pt>
                <c:pt idx="8">
                  <c:v>2.1539999999999999</c:v>
                </c:pt>
                <c:pt idx="9">
                  <c:v>1.385</c:v>
                </c:pt>
              </c:numCache>
            </c:numRef>
          </c:val>
        </c:ser>
        <c:dLbls>
          <c:showLegendKey val="0"/>
          <c:showVal val="0"/>
          <c:showCatName val="0"/>
          <c:showSerName val="0"/>
          <c:showPercent val="0"/>
          <c:showBubbleSize val="0"/>
        </c:dLbls>
        <c:gapWidth val="150"/>
        <c:overlap val="-15"/>
        <c:axId val="222737536"/>
        <c:axId val="222739456"/>
      </c:barChart>
      <c:catAx>
        <c:axId val="222737536"/>
        <c:scaling>
          <c:orientation val="minMax"/>
        </c:scaling>
        <c:delete val="0"/>
        <c:axPos val="b"/>
        <c:title>
          <c:tx>
            <c:rich>
              <a:bodyPr rot="0" vert="horz"/>
              <a:lstStyle/>
              <a:p>
                <a:pPr algn="ctr" rtl="0">
                  <a:defRPr sz="1100"/>
                </a:pPr>
                <a:r>
                  <a:rPr lang="en-IN" sz="1100"/>
                  <a:t>Intensity (%)</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lgn="ctr">
              <a:defRPr/>
            </a:pPr>
            <a:endParaRPr lang="en-US"/>
          </a:p>
        </c:txPr>
        <c:crossAx val="222739456"/>
        <c:crosses val="autoZero"/>
        <c:auto val="1"/>
        <c:lblAlgn val="ctr"/>
        <c:lblOffset val="100"/>
        <c:noMultiLvlLbl val="0"/>
      </c:catAx>
      <c:valAx>
        <c:axId val="222739456"/>
        <c:scaling>
          <c:orientation val="minMax"/>
        </c:scaling>
        <c:delete val="0"/>
        <c:axPos val="l"/>
        <c:title>
          <c:tx>
            <c:rich>
              <a:bodyPr rot="-5400000" vert="horz"/>
              <a:lstStyle/>
              <a:p>
                <a:pPr algn="ctr" rtl="0">
                  <a:defRPr sz="1100"/>
                </a:pPr>
                <a:r>
                  <a:rPr lang="en-IN" sz="1100"/>
                  <a:t>Harmonics - 5th</a:t>
                </a:r>
              </a:p>
            </c:rich>
          </c:tx>
          <c:layout/>
          <c:overlay val="0"/>
          <c:spPr>
            <a:noFill/>
            <a:ln>
              <a:noFill/>
            </a:ln>
            <a:effectLst/>
          </c:spPr>
        </c:title>
        <c:numFmt formatCode="General" sourceLinked="1"/>
        <c:majorTickMark val="none"/>
        <c:minorTickMark val="none"/>
        <c:tickLblPos val="nextTo"/>
        <c:spPr>
          <a:noFill/>
          <a:ln>
            <a:noFill/>
          </a:ln>
          <a:effectLst/>
        </c:spPr>
        <c:txPr>
          <a:bodyPr rot="-60000000" vert="horz"/>
          <a:lstStyle/>
          <a:p>
            <a:pPr algn="ctr">
              <a:defRPr/>
            </a:pPr>
            <a:endParaRPr lang="en-US"/>
          </a:p>
        </c:txPr>
        <c:crossAx val="222737536"/>
        <c:crosses val="autoZero"/>
        <c:crossBetween val="between"/>
      </c:valAx>
      <c:spPr>
        <a:noFill/>
        <a:ln>
          <a:noFill/>
        </a:ln>
        <a:effectLst/>
      </c:spPr>
    </c:plotArea>
    <c:legend>
      <c:legendPos val="r"/>
      <c:layout/>
      <c:overlay val="0"/>
      <c:spPr>
        <a:noFill/>
        <a:ln>
          <a:noFill/>
        </a:ln>
        <a:effectLst/>
      </c:spPr>
      <c:txPr>
        <a:bodyPr rot="0" vert="horz"/>
        <a:lstStyle/>
        <a:p>
          <a:pPr>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lang="en-US" sz="10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IN"/>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 Prototype- Dashboard.xlsx]Pivot Tables!PivotTable11</c:name>
    <c:fmtId val="13"/>
  </c:pivotSource>
  <c:chart>
    <c:title>
      <c:tx>
        <c:rich>
          <a:bodyPr rot="0" spcFirstLastPara="1" vertOverflow="ellipsis" vert="horz" wrap="square" anchor="ctr" anchorCtr="1"/>
          <a:lstStyle/>
          <a:p>
            <a:pPr algn="ctr" rtl="0">
              <a:defRPr lang="en-US" sz="1600" b="1" i="0" u="none" strike="noStrike" kern="1200" spc="0" baseline="0">
                <a:solidFill>
                  <a:schemeClr val="tx1"/>
                </a:solidFill>
                <a:latin typeface="+mn-lt"/>
                <a:ea typeface="+mn-ea"/>
                <a:cs typeface="+mn-cs"/>
              </a:defRPr>
            </a:pPr>
            <a:r>
              <a:rPr lang="en-US" sz="1600" b="1" i="0" u="none" strike="noStrike" kern="1200" spc="0" baseline="0">
                <a:solidFill>
                  <a:schemeClr val="tx1"/>
                </a:solidFill>
                <a:latin typeface="+mn-lt"/>
                <a:ea typeface="+mn-ea"/>
                <a:cs typeface="+mn-cs"/>
              </a:rPr>
              <a:t>Harmonics - 7th By Intensity</a:t>
            </a:r>
          </a:p>
        </c:rich>
      </c:tx>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6"/>
        <c:spPr>
          <a:solidFill>
            <a:srgbClr val="C00000"/>
          </a:solidFill>
          <a:ln>
            <a:noFill/>
          </a:ln>
          <a:effectLst/>
        </c:spPr>
        <c:marker>
          <c:symbol val="none"/>
        </c:marker>
      </c:pivotFmt>
      <c:pivotFmt>
        <c:idx val="7"/>
        <c:spPr>
          <a:solidFill>
            <a:srgbClr val="CF763F"/>
          </a:solidFill>
          <a:ln>
            <a:noFill/>
          </a:ln>
          <a:effectLst/>
        </c:spPr>
        <c:marker>
          <c:symbol val="none"/>
        </c:marker>
      </c:pivotFmt>
      <c:pivotFmt>
        <c:idx val="8"/>
        <c:spPr>
          <a:solidFill>
            <a:schemeClr val="accent4">
              <a:lumMod val="75000"/>
            </a:schemeClr>
          </a:solidFill>
          <a:ln>
            <a:noFill/>
          </a:ln>
          <a:effectLst/>
        </c:spPr>
        <c:marker>
          <c:symbol val="none"/>
        </c:marker>
      </c:pivotFmt>
      <c:pivotFmt>
        <c:idx val="9"/>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s>
    <c:plotArea>
      <c:layout/>
      <c:barChart>
        <c:barDir val="col"/>
        <c:grouping val="clustered"/>
        <c:varyColors val="0"/>
        <c:ser>
          <c:idx val="0"/>
          <c:order val="0"/>
          <c:tx>
            <c:strRef>
              <c:f>'Pivot Tables'!$C$81:$C$82</c:f>
              <c:strCache>
                <c:ptCount val="1"/>
                <c:pt idx="0">
                  <c:v>0 to 10v Dimming</c:v>
                </c:pt>
              </c:strCache>
            </c:strRef>
          </c:tx>
          <c:spPr>
            <a:solidFill>
              <a:srgbClr val="C00000"/>
            </a:solidFill>
            <a:ln>
              <a:noFill/>
            </a:ln>
            <a:effectLst/>
          </c:spPr>
          <c:invertIfNegative val="0"/>
          <c:cat>
            <c:strRef>
              <c:f>'Pivot Tables'!$B$83:$B$93</c:f>
              <c:strCache>
                <c:ptCount val="10"/>
                <c:pt idx="0">
                  <c:v>10</c:v>
                </c:pt>
                <c:pt idx="1">
                  <c:v>20</c:v>
                </c:pt>
                <c:pt idx="2">
                  <c:v>30</c:v>
                </c:pt>
                <c:pt idx="3">
                  <c:v>40</c:v>
                </c:pt>
                <c:pt idx="4">
                  <c:v>50</c:v>
                </c:pt>
                <c:pt idx="5">
                  <c:v>60</c:v>
                </c:pt>
                <c:pt idx="6">
                  <c:v>70</c:v>
                </c:pt>
                <c:pt idx="7">
                  <c:v>80</c:v>
                </c:pt>
                <c:pt idx="8">
                  <c:v>90</c:v>
                </c:pt>
                <c:pt idx="9">
                  <c:v>100</c:v>
                </c:pt>
              </c:strCache>
            </c:strRef>
          </c:cat>
          <c:val>
            <c:numRef>
              <c:f>'Pivot Tables'!$C$83:$C$93</c:f>
              <c:numCache>
                <c:formatCode>General</c:formatCode>
                <c:ptCount val="10"/>
                <c:pt idx="0">
                  <c:v>3.7029999999999998</c:v>
                </c:pt>
                <c:pt idx="1">
                  <c:v>3.3620000000000001</c:v>
                </c:pt>
                <c:pt idx="2">
                  <c:v>3.6619999999999999</c:v>
                </c:pt>
                <c:pt idx="3">
                  <c:v>3.6440000000000001</c:v>
                </c:pt>
                <c:pt idx="4">
                  <c:v>3.585</c:v>
                </c:pt>
                <c:pt idx="5">
                  <c:v>3.7749999999999999</c:v>
                </c:pt>
                <c:pt idx="6">
                  <c:v>3.7040000000000002</c:v>
                </c:pt>
                <c:pt idx="7">
                  <c:v>3.7149999999999999</c:v>
                </c:pt>
                <c:pt idx="8">
                  <c:v>3.423</c:v>
                </c:pt>
                <c:pt idx="9">
                  <c:v>3.456</c:v>
                </c:pt>
              </c:numCache>
            </c:numRef>
          </c:val>
          <c:extLst xmlns:c16r2="http://schemas.microsoft.com/office/drawing/2015/06/chart">
            <c:ext xmlns:c16="http://schemas.microsoft.com/office/drawing/2014/chart" uri="{C3380CC4-5D6E-409C-BE32-E72D297353CC}">
              <c16:uniqueId val="{00000000-1FA7-4FE5-A3FA-752786544AFC}"/>
            </c:ext>
          </c:extLst>
        </c:ser>
        <c:ser>
          <c:idx val="1"/>
          <c:order val="1"/>
          <c:tx>
            <c:strRef>
              <c:f>'Pivot Tables'!$D$81:$D$82</c:f>
              <c:strCache>
                <c:ptCount val="1"/>
                <c:pt idx="0">
                  <c:v>DALI Dimming</c:v>
                </c:pt>
              </c:strCache>
            </c:strRef>
          </c:tx>
          <c:spPr>
            <a:solidFill>
              <a:srgbClr val="CF763F"/>
            </a:solidFill>
            <a:ln>
              <a:noFill/>
            </a:ln>
            <a:effectLst/>
          </c:spPr>
          <c:invertIfNegative val="0"/>
          <c:cat>
            <c:strRef>
              <c:f>'Pivot Tables'!$B$83:$B$93</c:f>
              <c:strCache>
                <c:ptCount val="10"/>
                <c:pt idx="0">
                  <c:v>10</c:v>
                </c:pt>
                <c:pt idx="1">
                  <c:v>20</c:v>
                </c:pt>
                <c:pt idx="2">
                  <c:v>30</c:v>
                </c:pt>
                <c:pt idx="3">
                  <c:v>40</c:v>
                </c:pt>
                <c:pt idx="4">
                  <c:v>50</c:v>
                </c:pt>
                <c:pt idx="5">
                  <c:v>60</c:v>
                </c:pt>
                <c:pt idx="6">
                  <c:v>70</c:v>
                </c:pt>
                <c:pt idx="7">
                  <c:v>80</c:v>
                </c:pt>
                <c:pt idx="8">
                  <c:v>90</c:v>
                </c:pt>
                <c:pt idx="9">
                  <c:v>100</c:v>
                </c:pt>
              </c:strCache>
            </c:strRef>
          </c:cat>
          <c:val>
            <c:numRef>
              <c:f>'Pivot Tables'!$D$83:$D$93</c:f>
              <c:numCache>
                <c:formatCode>General</c:formatCode>
                <c:ptCount val="10"/>
                <c:pt idx="0">
                  <c:v>1.2470000000000001</c:v>
                </c:pt>
                <c:pt idx="1">
                  <c:v>1.347</c:v>
                </c:pt>
                <c:pt idx="2">
                  <c:v>1.26</c:v>
                </c:pt>
                <c:pt idx="3">
                  <c:v>1.23</c:v>
                </c:pt>
                <c:pt idx="4">
                  <c:v>1.2110000000000001</c:v>
                </c:pt>
                <c:pt idx="5">
                  <c:v>1.24</c:v>
                </c:pt>
                <c:pt idx="6">
                  <c:v>1.286</c:v>
                </c:pt>
                <c:pt idx="7">
                  <c:v>1.339</c:v>
                </c:pt>
                <c:pt idx="8">
                  <c:v>1.3919999999999999</c:v>
                </c:pt>
                <c:pt idx="9">
                  <c:v>1.5129999999999999</c:v>
                </c:pt>
              </c:numCache>
            </c:numRef>
          </c:val>
        </c:ser>
        <c:ser>
          <c:idx val="2"/>
          <c:order val="2"/>
          <c:tx>
            <c:strRef>
              <c:f>'Pivot Tables'!$E$81:$E$82</c:f>
              <c:strCache>
                <c:ptCount val="1"/>
                <c:pt idx="0">
                  <c:v>Phase Cut Dimming</c:v>
                </c:pt>
              </c:strCache>
            </c:strRef>
          </c:tx>
          <c:spPr>
            <a:solidFill>
              <a:schemeClr val="accent4">
                <a:lumMod val="75000"/>
              </a:schemeClr>
            </a:solidFill>
            <a:ln>
              <a:noFill/>
            </a:ln>
            <a:effectLst/>
          </c:spPr>
          <c:invertIfNegative val="0"/>
          <c:cat>
            <c:strRef>
              <c:f>'Pivot Tables'!$B$83:$B$93</c:f>
              <c:strCache>
                <c:ptCount val="10"/>
                <c:pt idx="0">
                  <c:v>10</c:v>
                </c:pt>
                <c:pt idx="1">
                  <c:v>20</c:v>
                </c:pt>
                <c:pt idx="2">
                  <c:v>30</c:v>
                </c:pt>
                <c:pt idx="3">
                  <c:v>40</c:v>
                </c:pt>
                <c:pt idx="4">
                  <c:v>50</c:v>
                </c:pt>
                <c:pt idx="5">
                  <c:v>60</c:v>
                </c:pt>
                <c:pt idx="6">
                  <c:v>70</c:v>
                </c:pt>
                <c:pt idx="7">
                  <c:v>80</c:v>
                </c:pt>
                <c:pt idx="8">
                  <c:v>90</c:v>
                </c:pt>
                <c:pt idx="9">
                  <c:v>100</c:v>
                </c:pt>
              </c:strCache>
            </c:strRef>
          </c:cat>
          <c:val>
            <c:numRef>
              <c:f>'Pivot Tables'!$E$83:$E$93</c:f>
              <c:numCache>
                <c:formatCode>General</c:formatCode>
                <c:ptCount val="10"/>
                <c:pt idx="0">
                  <c:v>0</c:v>
                </c:pt>
                <c:pt idx="1">
                  <c:v>3.2240000000000002</c:v>
                </c:pt>
                <c:pt idx="2">
                  <c:v>3.5150000000000001</c:v>
                </c:pt>
                <c:pt idx="3">
                  <c:v>3.2160000000000002</c:v>
                </c:pt>
                <c:pt idx="4">
                  <c:v>3.3690000000000002</c:v>
                </c:pt>
                <c:pt idx="5">
                  <c:v>3.3849999999999998</c:v>
                </c:pt>
                <c:pt idx="6">
                  <c:v>2.911</c:v>
                </c:pt>
                <c:pt idx="7">
                  <c:v>2.5649999999999999</c:v>
                </c:pt>
                <c:pt idx="8">
                  <c:v>3.7839999999999998</c:v>
                </c:pt>
                <c:pt idx="9">
                  <c:v>3.161</c:v>
                </c:pt>
              </c:numCache>
            </c:numRef>
          </c:val>
        </c:ser>
        <c:dLbls>
          <c:showLegendKey val="0"/>
          <c:showVal val="0"/>
          <c:showCatName val="0"/>
          <c:showSerName val="0"/>
          <c:showPercent val="0"/>
          <c:showBubbleSize val="0"/>
        </c:dLbls>
        <c:gapWidth val="150"/>
        <c:overlap val="-15"/>
        <c:axId val="223213824"/>
        <c:axId val="223216000"/>
      </c:barChart>
      <c:catAx>
        <c:axId val="223213824"/>
        <c:scaling>
          <c:orientation val="minMax"/>
        </c:scaling>
        <c:delete val="0"/>
        <c:axPos val="b"/>
        <c:title>
          <c:tx>
            <c:rich>
              <a:bodyPr rot="0" spcFirstLastPara="1" vertOverflow="ellipsis" vert="horz" wrap="square" anchor="ctr" anchorCtr="1"/>
              <a:lstStyle/>
              <a:p>
                <a:pPr algn="ctr" rtl="0">
                  <a:defRPr lang="en-IN" sz="1100" b="1" i="0" u="none" strike="noStrike" kern="1200" baseline="0">
                    <a:solidFill>
                      <a:schemeClr val="tx1"/>
                    </a:solidFill>
                    <a:latin typeface="+mn-lt"/>
                    <a:ea typeface="+mn-ea"/>
                    <a:cs typeface="+mn-cs"/>
                  </a:defRPr>
                </a:pPr>
                <a:r>
                  <a:rPr lang="en-IN" sz="1100" b="1" i="0" u="none" strike="noStrike" kern="1200" baseline="0">
                    <a:solidFill>
                      <a:schemeClr val="tx1"/>
                    </a:solidFill>
                    <a:latin typeface="+mn-lt"/>
                    <a:ea typeface="+mn-ea"/>
                    <a:cs typeface="+mn-cs"/>
                  </a:rPr>
                  <a:t>Intensity (%)</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1" i="0" u="none" strike="noStrike" kern="1200" baseline="0">
                <a:solidFill>
                  <a:schemeClr val="tx1"/>
                </a:solidFill>
                <a:latin typeface="+mn-lt"/>
                <a:ea typeface="+mn-ea"/>
                <a:cs typeface="+mn-cs"/>
              </a:defRPr>
            </a:pPr>
            <a:endParaRPr lang="en-US"/>
          </a:p>
        </c:txPr>
        <c:crossAx val="223216000"/>
        <c:crosses val="autoZero"/>
        <c:auto val="1"/>
        <c:lblAlgn val="ctr"/>
        <c:lblOffset val="100"/>
        <c:noMultiLvlLbl val="0"/>
      </c:catAx>
      <c:valAx>
        <c:axId val="223216000"/>
        <c:scaling>
          <c:orientation val="minMax"/>
        </c:scaling>
        <c:delete val="0"/>
        <c:axPos val="l"/>
        <c:title>
          <c:tx>
            <c:rich>
              <a:bodyPr rot="-5400000" spcFirstLastPara="1" vertOverflow="ellipsis" vert="horz" wrap="square" anchor="ctr" anchorCtr="1"/>
              <a:lstStyle/>
              <a:p>
                <a:pPr algn="ctr" rtl="0">
                  <a:defRPr lang="en-IN" sz="1100" b="1" i="0" u="none" strike="noStrike" kern="1200" baseline="0">
                    <a:solidFill>
                      <a:schemeClr val="tx1"/>
                    </a:solidFill>
                    <a:latin typeface="+mn-lt"/>
                    <a:ea typeface="+mn-ea"/>
                    <a:cs typeface="+mn-cs"/>
                  </a:defRPr>
                </a:pPr>
                <a:r>
                  <a:rPr lang="en-IN" sz="1100" b="1" i="0" u="none" strike="noStrike" kern="1200" baseline="0">
                    <a:solidFill>
                      <a:schemeClr val="tx1"/>
                    </a:solidFill>
                    <a:latin typeface="+mn-lt"/>
                    <a:ea typeface="+mn-ea"/>
                    <a:cs typeface="+mn-cs"/>
                  </a:rPr>
                  <a:t>Harmonics - 7th </a:t>
                </a:r>
              </a:p>
            </c:rich>
          </c:tx>
          <c:layout/>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0" b="1" i="0" u="none" strike="noStrike" kern="1200" baseline="0">
                <a:solidFill>
                  <a:schemeClr val="tx1"/>
                </a:solidFill>
                <a:latin typeface="+mn-lt"/>
                <a:ea typeface="+mn-ea"/>
                <a:cs typeface="+mn-cs"/>
              </a:defRPr>
            </a:pPr>
            <a:endParaRPr lang="en-US"/>
          </a:p>
        </c:txPr>
        <c:crossAx val="2232138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7.xml"/><Relationship Id="rId7" Type="http://schemas.openxmlformats.org/officeDocument/2006/relationships/chart" Target="../charts/chart11.xml"/><Relationship Id="rId2" Type="http://schemas.openxmlformats.org/officeDocument/2006/relationships/image" Target="../media/image2.jfif"/><Relationship Id="rId1" Type="http://schemas.openxmlformats.org/officeDocument/2006/relationships/image" Target="../media/image1.png"/><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6</xdr:col>
      <xdr:colOff>1455420</xdr:colOff>
      <xdr:row>1</xdr:row>
      <xdr:rowOff>110490</xdr:rowOff>
    </xdr:from>
    <xdr:to>
      <xdr:col>10</xdr:col>
      <xdr:colOff>21772</xdr:colOff>
      <xdr:row>14</xdr:row>
      <xdr:rowOff>137160</xdr:rowOff>
    </xdr:to>
    <xdr:graphicFrame macro="">
      <xdr:nvGraphicFramePr>
        <xdr:cNvPr id="5" name="Chart 4">
          <a:extLst>
            <a:ext uri="{FF2B5EF4-FFF2-40B4-BE49-F238E27FC236}">
              <a16:creationId xmlns:a16="http://schemas.microsoft.com/office/drawing/2014/main" xmlns="" id="{ADBC759E-6609-F2B0-82BB-B4C3DC1988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1348740</xdr:colOff>
      <xdr:row>22</xdr:row>
      <xdr:rowOff>80010</xdr:rowOff>
    </xdr:from>
    <xdr:to>
      <xdr:col>9</xdr:col>
      <xdr:colOff>1034142</xdr:colOff>
      <xdr:row>35</xdr:row>
      <xdr:rowOff>7620</xdr:rowOff>
    </xdr:to>
    <xdr:graphicFrame macro="">
      <xdr:nvGraphicFramePr>
        <xdr:cNvPr id="6" name="Chart 5">
          <a:extLst>
            <a:ext uri="{FF2B5EF4-FFF2-40B4-BE49-F238E27FC236}">
              <a16:creationId xmlns:a16="http://schemas.microsoft.com/office/drawing/2014/main" xmlns="" id="{4ECC8655-8619-9C32-D599-82B5ABA59D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1143449</xdr:colOff>
      <xdr:row>41</xdr:row>
      <xdr:rowOff>108025</xdr:rowOff>
    </xdr:from>
    <xdr:to>
      <xdr:col>9</xdr:col>
      <xdr:colOff>784860</xdr:colOff>
      <xdr:row>56</xdr:row>
      <xdr:rowOff>161813</xdr:rowOff>
    </xdr:to>
    <xdr:graphicFrame macro="">
      <xdr:nvGraphicFramePr>
        <xdr:cNvPr id="9" name="Chart 8">
          <a:extLst>
            <a:ext uri="{FF2B5EF4-FFF2-40B4-BE49-F238E27FC236}">
              <a16:creationId xmlns:a16="http://schemas.microsoft.com/office/drawing/2014/main" xmlns="" id="{58646F66-C711-A986-818B-D0F683EFB9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1168550</xdr:colOff>
      <xdr:row>62</xdr:row>
      <xdr:rowOff>156882</xdr:rowOff>
    </xdr:from>
    <xdr:to>
      <xdr:col>9</xdr:col>
      <xdr:colOff>809961</xdr:colOff>
      <xdr:row>78</xdr:row>
      <xdr:rowOff>27790</xdr:rowOff>
    </xdr:to>
    <xdr:graphicFrame macro="">
      <xdr:nvGraphicFramePr>
        <xdr:cNvPr id="10" name="Chart 9">
          <a:extLst>
            <a:ext uri="{FF2B5EF4-FFF2-40B4-BE49-F238E27FC236}">
              <a16:creationId xmlns:a16="http://schemas.microsoft.com/office/drawing/2014/main" xmlns="" id="{ACF40889-0C87-A484-03E7-19B2408B61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1148380</xdr:colOff>
      <xdr:row>80</xdr:row>
      <xdr:rowOff>13448</xdr:rowOff>
    </xdr:from>
    <xdr:to>
      <xdr:col>9</xdr:col>
      <xdr:colOff>789791</xdr:colOff>
      <xdr:row>95</xdr:row>
      <xdr:rowOff>67236</xdr:rowOff>
    </xdr:to>
    <xdr:graphicFrame macro="">
      <xdr:nvGraphicFramePr>
        <xdr:cNvPr id="11" name="Chart 10">
          <a:extLst>
            <a:ext uri="{FF2B5EF4-FFF2-40B4-BE49-F238E27FC236}">
              <a16:creationId xmlns:a16="http://schemas.microsoft.com/office/drawing/2014/main" xmlns="" id="{7F6145CF-5F6C-746B-E373-1AB78BADDB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1226820</xdr:colOff>
      <xdr:row>96</xdr:row>
      <xdr:rowOff>125730</xdr:rowOff>
    </xdr:from>
    <xdr:to>
      <xdr:col>9</xdr:col>
      <xdr:colOff>868680</xdr:colOff>
      <xdr:row>109</xdr:row>
      <xdr:rowOff>160020</xdr:rowOff>
    </xdr:to>
    <xdr:graphicFrame macro="">
      <xdr:nvGraphicFramePr>
        <xdr:cNvPr id="12" name="Chart 11">
          <a:extLst>
            <a:ext uri="{FF2B5EF4-FFF2-40B4-BE49-F238E27FC236}">
              <a16:creationId xmlns:a16="http://schemas.microsoft.com/office/drawing/2014/main" xmlns="" id="{03A7070B-4595-7169-8957-A867062C52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457200</xdr:colOff>
      <xdr:row>9</xdr:row>
      <xdr:rowOff>127452</xdr:rowOff>
    </xdr:to>
    <xdr:pic>
      <xdr:nvPicPr>
        <xdr:cNvPr id="3" name="Picture 2">
          <a:extLst>
            <a:ext uri="{FF2B5EF4-FFF2-40B4-BE49-F238E27FC236}">
              <a16:creationId xmlns:a16="http://schemas.microsoft.com/office/drawing/2014/main" xmlns="" id="{1B1910F9-2512-9FC4-F5D8-AFF3E36B6A6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731818" cy="1748434"/>
        </a:xfrm>
        <a:prstGeom prst="rect">
          <a:avLst/>
        </a:prstGeom>
      </xdr:spPr>
    </xdr:pic>
    <xdr:clientData/>
  </xdr:twoCellAnchor>
  <xdr:twoCellAnchor>
    <xdr:from>
      <xdr:col>3</xdr:col>
      <xdr:colOff>404092</xdr:colOff>
      <xdr:row>1</xdr:row>
      <xdr:rowOff>2770</xdr:rowOff>
    </xdr:from>
    <xdr:to>
      <xdr:col>29</xdr:col>
      <xdr:colOff>307109</xdr:colOff>
      <xdr:row>6</xdr:row>
      <xdr:rowOff>11545</xdr:rowOff>
    </xdr:to>
    <xdr:sp macro="" textlink="">
      <xdr:nvSpPr>
        <xdr:cNvPr id="4" name="Rectangle: Rounded Corners 3">
          <a:extLst>
            <a:ext uri="{FF2B5EF4-FFF2-40B4-BE49-F238E27FC236}">
              <a16:creationId xmlns:a16="http://schemas.microsoft.com/office/drawing/2014/main" xmlns="" id="{FC08F82A-3176-4E54-53C4-15A9D483FC47}"/>
            </a:ext>
          </a:extLst>
        </xdr:cNvPr>
        <xdr:cNvSpPr/>
      </xdr:nvSpPr>
      <xdr:spPr>
        <a:xfrm>
          <a:off x="1685637" y="187497"/>
          <a:ext cx="15812654" cy="932412"/>
        </a:xfrm>
        <a:prstGeom prst="roundRect">
          <a:avLst/>
        </a:prstGeom>
        <a:ln>
          <a:solidFill>
            <a:schemeClr val="accent2"/>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80818</xdr:colOff>
      <xdr:row>1</xdr:row>
      <xdr:rowOff>139335</xdr:rowOff>
    </xdr:from>
    <xdr:to>
      <xdr:col>28</xdr:col>
      <xdr:colOff>510309</xdr:colOff>
      <xdr:row>5</xdr:row>
      <xdr:rowOff>23092</xdr:rowOff>
    </xdr:to>
    <xdr:sp macro="" textlink="">
      <xdr:nvSpPr>
        <xdr:cNvPr id="6" name="TextBox 5">
          <a:extLst>
            <a:ext uri="{FF2B5EF4-FFF2-40B4-BE49-F238E27FC236}">
              <a16:creationId xmlns:a16="http://schemas.microsoft.com/office/drawing/2014/main" xmlns="" id="{3750A597-975F-5877-541C-D1D96902740C}"/>
            </a:ext>
          </a:extLst>
        </xdr:cNvPr>
        <xdr:cNvSpPr txBox="1"/>
      </xdr:nvSpPr>
      <xdr:spPr>
        <a:xfrm>
          <a:off x="1974273" y="324062"/>
          <a:ext cx="15115309" cy="62266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800" b="1" i="1">
              <a:solidFill>
                <a:srgbClr val="FF3300"/>
              </a:solidFill>
            </a:rPr>
            <a:t>EFFECTS OF DIMMING ON POWER CONSUMPTION IN LIGHTING</a:t>
          </a:r>
        </a:p>
      </xdr:txBody>
    </xdr:sp>
    <xdr:clientData/>
  </xdr:twoCellAnchor>
  <xdr:twoCellAnchor editAs="oneCell">
    <xdr:from>
      <xdr:col>29</xdr:col>
      <xdr:colOff>596159</xdr:colOff>
      <xdr:row>0</xdr:row>
      <xdr:rowOff>49577</xdr:rowOff>
    </xdr:from>
    <xdr:to>
      <xdr:col>32</xdr:col>
      <xdr:colOff>242455</xdr:colOff>
      <xdr:row>7</xdr:row>
      <xdr:rowOff>18066</xdr:rowOff>
    </xdr:to>
    <xdr:pic>
      <xdr:nvPicPr>
        <xdr:cNvPr id="12" name="Picture 11">
          <a:extLst>
            <a:ext uri="{FF2B5EF4-FFF2-40B4-BE49-F238E27FC236}">
              <a16:creationId xmlns:a16="http://schemas.microsoft.com/office/drawing/2014/main" xmlns="" id="{6C8FF093-CDF2-96E4-C421-14B279C85B5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7787341" y="49577"/>
          <a:ext cx="1482023" cy="1261580"/>
        </a:xfrm>
        <a:prstGeom prst="rect">
          <a:avLst/>
        </a:prstGeom>
      </xdr:spPr>
    </xdr:pic>
    <xdr:clientData/>
  </xdr:twoCellAnchor>
  <xdr:twoCellAnchor>
    <xdr:from>
      <xdr:col>23</xdr:col>
      <xdr:colOff>154233</xdr:colOff>
      <xdr:row>6</xdr:row>
      <xdr:rowOff>161636</xdr:rowOff>
    </xdr:from>
    <xdr:to>
      <xdr:col>32</xdr:col>
      <xdr:colOff>403098</xdr:colOff>
      <xdr:row>29</xdr:row>
      <xdr:rowOff>11545</xdr:rowOff>
    </xdr:to>
    <xdr:graphicFrame macro="">
      <xdr:nvGraphicFramePr>
        <xdr:cNvPr id="13" name="Chart 12">
          <a:extLst>
            <a:ext uri="{FF2B5EF4-FFF2-40B4-BE49-F238E27FC236}">
              <a16:creationId xmlns:a16="http://schemas.microsoft.com/office/drawing/2014/main" xmlns="" id="{EADB833D-01D6-45A0-B2B9-90F94A0959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347383</xdr:colOff>
      <xdr:row>6</xdr:row>
      <xdr:rowOff>150090</xdr:rowOff>
    </xdr:from>
    <xdr:to>
      <xdr:col>23</xdr:col>
      <xdr:colOff>57728</xdr:colOff>
      <xdr:row>29</xdr:row>
      <xdr:rowOff>11544</xdr:rowOff>
    </xdr:to>
    <xdr:graphicFrame macro="">
      <xdr:nvGraphicFramePr>
        <xdr:cNvPr id="14" name="Chart 13">
          <a:extLst>
            <a:ext uri="{FF2B5EF4-FFF2-40B4-BE49-F238E27FC236}">
              <a16:creationId xmlns:a16="http://schemas.microsoft.com/office/drawing/2014/main" xmlns="" id="{460B3454-519B-4AB9-B9FA-B314899E85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9372</xdr:colOff>
      <xdr:row>6</xdr:row>
      <xdr:rowOff>150091</xdr:rowOff>
    </xdr:from>
    <xdr:to>
      <xdr:col>13</xdr:col>
      <xdr:colOff>244764</xdr:colOff>
      <xdr:row>29</xdr:row>
      <xdr:rowOff>11545</xdr:rowOff>
    </xdr:to>
    <xdr:graphicFrame macro="">
      <xdr:nvGraphicFramePr>
        <xdr:cNvPr id="15" name="Chart 14">
          <a:extLst>
            <a:ext uri="{FF2B5EF4-FFF2-40B4-BE49-F238E27FC236}">
              <a16:creationId xmlns:a16="http://schemas.microsoft.com/office/drawing/2014/main" xmlns="" id="{94D973C8-9545-4B4C-BF07-B621FE3FAE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47831</xdr:colOff>
      <xdr:row>8</xdr:row>
      <xdr:rowOff>184650</xdr:rowOff>
    </xdr:from>
    <xdr:to>
      <xdr:col>3</xdr:col>
      <xdr:colOff>549563</xdr:colOff>
      <xdr:row>15</xdr:row>
      <xdr:rowOff>64655</xdr:rowOff>
    </xdr:to>
    <mc:AlternateContent xmlns:mc="http://schemas.openxmlformats.org/markup-compatibility/2006" xmlns:a14="http://schemas.microsoft.com/office/drawing/2010/main">
      <mc:Choice Requires="a14">
        <xdr:graphicFrame macro="">
          <xdr:nvGraphicFramePr>
            <xdr:cNvPr id="18" name="Dimming Technology">
              <a:extLst>
                <a:ext uri="{FF2B5EF4-FFF2-40B4-BE49-F238E27FC236}">
                  <a16:creationId xmlns:a16="http://schemas.microsoft.com/office/drawing/2014/main" xmlns="" id="{8608F9A8-D931-C37C-E349-D638204724CF}"/>
                </a:ext>
              </a:extLst>
            </xdr:cNvPr>
            <xdr:cNvGraphicFramePr/>
          </xdr:nvGraphicFramePr>
          <xdr:xfrm>
            <a:off x="0" y="0"/>
            <a:ext cx="0" cy="0"/>
          </xdr:xfrm>
          <a:graphic>
            <a:graphicData uri="http://schemas.microsoft.com/office/drawing/2010/slicer">
              <sle:slicer xmlns:sle="http://schemas.microsoft.com/office/drawing/2010/slicer" name="Dimming Technology"/>
            </a:graphicData>
          </a:graphic>
        </xdr:graphicFrame>
      </mc:Choice>
      <mc:Fallback xmlns="">
        <xdr:sp macro="" textlink="">
          <xdr:nvSpPr>
            <xdr:cNvPr id="0" name=""/>
            <xdr:cNvSpPr>
              <a:spLocks noTextEdit="1"/>
            </xdr:cNvSpPr>
          </xdr:nvSpPr>
          <xdr:spPr>
            <a:xfrm>
              <a:off x="105558" y="1662468"/>
              <a:ext cx="1725550" cy="11730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41564</xdr:colOff>
      <xdr:row>15</xdr:row>
      <xdr:rowOff>115456</xdr:rowOff>
    </xdr:from>
    <xdr:to>
      <xdr:col>3</xdr:col>
      <xdr:colOff>515470</xdr:colOff>
      <xdr:row>28</xdr:row>
      <xdr:rowOff>127001</xdr:rowOff>
    </xdr:to>
    <mc:AlternateContent xmlns:mc="http://schemas.openxmlformats.org/markup-compatibility/2006" xmlns:a14="http://schemas.microsoft.com/office/drawing/2010/main">
      <mc:Choice Requires="a14">
        <xdr:graphicFrame macro="">
          <xdr:nvGraphicFramePr>
            <xdr:cNvPr id="20" name="Intensity (%)">
              <a:extLst>
                <a:ext uri="{FF2B5EF4-FFF2-40B4-BE49-F238E27FC236}">
                  <a16:creationId xmlns:a16="http://schemas.microsoft.com/office/drawing/2014/main" xmlns="" id="{21A7EF0A-07FA-D36B-3E1A-0DC651D830CD}"/>
                </a:ext>
              </a:extLst>
            </xdr:cNvPr>
            <xdr:cNvGraphicFramePr/>
          </xdr:nvGraphicFramePr>
          <xdr:xfrm>
            <a:off x="0" y="0"/>
            <a:ext cx="0" cy="0"/>
          </xdr:xfrm>
          <a:graphic>
            <a:graphicData uri="http://schemas.microsoft.com/office/drawing/2010/slicer">
              <sle:slicer xmlns:sle="http://schemas.microsoft.com/office/drawing/2010/slicer" name="Intensity (%)"/>
            </a:graphicData>
          </a:graphic>
        </xdr:graphicFrame>
      </mc:Choice>
      <mc:Fallback xmlns="">
        <xdr:sp macro="" textlink="">
          <xdr:nvSpPr>
            <xdr:cNvPr id="0" name=""/>
            <xdr:cNvSpPr>
              <a:spLocks noTextEdit="1"/>
            </xdr:cNvSpPr>
          </xdr:nvSpPr>
          <xdr:spPr>
            <a:xfrm>
              <a:off x="116379" y="3476601"/>
              <a:ext cx="1648097" cy="31389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89647</xdr:colOff>
      <xdr:row>29</xdr:row>
      <xdr:rowOff>103909</xdr:rowOff>
    </xdr:from>
    <xdr:to>
      <xdr:col>11</xdr:col>
      <xdr:colOff>199293</xdr:colOff>
      <xdr:row>49</xdr:row>
      <xdr:rowOff>138545</xdr:rowOff>
    </xdr:to>
    <xdr:graphicFrame macro="">
      <xdr:nvGraphicFramePr>
        <xdr:cNvPr id="27" name="Chart 26">
          <a:extLst>
            <a:ext uri="{FF2B5EF4-FFF2-40B4-BE49-F238E27FC236}">
              <a16:creationId xmlns:a16="http://schemas.microsoft.com/office/drawing/2014/main" xmlns="" id="{03EC84A2-1731-409C-B8DB-65F3D06950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304800</xdr:colOff>
      <xdr:row>29</xdr:row>
      <xdr:rowOff>92364</xdr:rowOff>
    </xdr:from>
    <xdr:to>
      <xdr:col>21</xdr:col>
      <xdr:colOff>448236</xdr:colOff>
      <xdr:row>49</xdr:row>
      <xdr:rowOff>150091</xdr:rowOff>
    </xdr:to>
    <xdr:graphicFrame macro="">
      <xdr:nvGraphicFramePr>
        <xdr:cNvPr id="28" name="Chart 27">
          <a:extLst>
            <a:ext uri="{FF2B5EF4-FFF2-40B4-BE49-F238E27FC236}">
              <a16:creationId xmlns:a16="http://schemas.microsoft.com/office/drawing/2014/main" xmlns="" id="{35328490-FBCE-435A-854A-EAF3078D7C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21</xdr:col>
      <xdr:colOff>549089</xdr:colOff>
      <xdr:row>29</xdr:row>
      <xdr:rowOff>103910</xdr:rowOff>
    </xdr:from>
    <xdr:to>
      <xdr:col>32</xdr:col>
      <xdr:colOff>424542</xdr:colOff>
      <xdr:row>49</xdr:row>
      <xdr:rowOff>115455</xdr:rowOff>
    </xdr:to>
    <xdr:graphicFrame macro="">
      <xdr:nvGraphicFramePr>
        <xdr:cNvPr id="29" name="Chart 28">
          <a:extLst>
            <a:ext uri="{FF2B5EF4-FFF2-40B4-BE49-F238E27FC236}">
              <a16:creationId xmlns:a16="http://schemas.microsoft.com/office/drawing/2014/main" xmlns="" id="{2CAB7BCC-E0CB-404F-BC0B-C0A9CFD9FE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304799</xdr:colOff>
      <xdr:row>5</xdr:row>
      <xdr:rowOff>152402</xdr:rowOff>
    </xdr:from>
    <xdr:to>
      <xdr:col>16</xdr:col>
      <xdr:colOff>415636</xdr:colOff>
      <xdr:row>8</xdr:row>
      <xdr:rowOff>27711</xdr:rowOff>
    </xdr:to>
    <xdr:sp macro="" textlink="">
      <xdr:nvSpPr>
        <xdr:cNvPr id="21" name="TextBox 20">
          <a:extLst>
            <a:ext uri="{FF2B5EF4-FFF2-40B4-BE49-F238E27FC236}">
              <a16:creationId xmlns:a16="http://schemas.microsoft.com/office/drawing/2014/main" xmlns="" id="{FB6A4197-FE98-4158-8897-C1DE24F08C35}"/>
            </a:ext>
          </a:extLst>
        </xdr:cNvPr>
        <xdr:cNvSpPr txBox="1"/>
      </xdr:nvSpPr>
      <xdr:spPr>
        <a:xfrm>
          <a:off x="7065817" y="1052947"/>
          <a:ext cx="2549237" cy="4156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2200" b="1">
            <a:ln>
              <a:noFill/>
            </a:ln>
            <a:solidFill>
              <a:srgbClr val="C00000"/>
            </a:solidFill>
            <a:latin typeface="+mj-lt"/>
            <a:ea typeface="Segoe UI Black" panose="020B0A02040204020203" pitchFamily="34" charset="0"/>
            <a:cs typeface="Segoe UI" panose="020B0502040204020203" pitchFamily="34" charset="0"/>
          </a:endParaRPr>
        </a:p>
      </xdr:txBody>
    </xdr:sp>
    <xdr:clientData/>
  </xdr:twoCellAnchor>
  <xdr:twoCellAnchor>
    <xdr:from>
      <xdr:col>0</xdr:col>
      <xdr:colOff>35169</xdr:colOff>
      <xdr:row>0</xdr:row>
      <xdr:rowOff>35169</xdr:rowOff>
    </xdr:from>
    <xdr:to>
      <xdr:col>32</xdr:col>
      <xdr:colOff>586154</xdr:colOff>
      <xdr:row>50</xdr:row>
      <xdr:rowOff>103909</xdr:rowOff>
    </xdr:to>
    <xdr:sp macro="" textlink="">
      <xdr:nvSpPr>
        <xdr:cNvPr id="25" name="Rectangle 24">
          <a:extLst>
            <a:ext uri="{FF2B5EF4-FFF2-40B4-BE49-F238E27FC236}">
              <a16:creationId xmlns:a16="http://schemas.microsoft.com/office/drawing/2014/main" xmlns="" id="{9F7FBAAF-6B4B-6C91-33DA-246E09063405}"/>
            </a:ext>
          </a:extLst>
        </xdr:cNvPr>
        <xdr:cNvSpPr/>
      </xdr:nvSpPr>
      <xdr:spPr>
        <a:xfrm>
          <a:off x="35169" y="35169"/>
          <a:ext cx="19577894" cy="9305104"/>
        </a:xfrm>
        <a:prstGeom prst="rect">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128954</xdr:colOff>
      <xdr:row>10</xdr:row>
      <xdr:rowOff>105508</xdr:rowOff>
    </xdr:from>
    <xdr:to>
      <xdr:col>35</xdr:col>
      <xdr:colOff>447608</xdr:colOff>
      <xdr:row>13</xdr:row>
      <xdr:rowOff>14920</xdr:rowOff>
    </xdr:to>
    <xdr:sp macro="" textlink="">
      <xdr:nvSpPr>
        <xdr:cNvPr id="26" name="TextBox 25">
          <a:extLst>
            <a:ext uri="{FF2B5EF4-FFF2-40B4-BE49-F238E27FC236}">
              <a16:creationId xmlns:a16="http://schemas.microsoft.com/office/drawing/2014/main" xmlns="" id="{5984605A-0219-4201-89BF-6DAD8E6551A1}"/>
            </a:ext>
          </a:extLst>
        </xdr:cNvPr>
        <xdr:cNvSpPr txBox="1"/>
      </xdr:nvSpPr>
      <xdr:spPr>
        <a:xfrm>
          <a:off x="19694769" y="1981200"/>
          <a:ext cx="1537854" cy="472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2800" b="1">
            <a:latin typeface="+mj-lt"/>
            <a:ea typeface="Segoe UI Black" panose="020B0A02040204020203" pitchFamily="34" charset="0"/>
          </a:endParaRPr>
        </a:p>
      </xdr:txBody>
    </xdr:sp>
    <xdr:clientData/>
  </xdr:twoCellAnchor>
  <xdr:twoCellAnchor>
    <xdr:from>
      <xdr:col>19</xdr:col>
      <xdr:colOff>0</xdr:colOff>
      <xdr:row>56</xdr:row>
      <xdr:rowOff>0</xdr:rowOff>
    </xdr:from>
    <xdr:to>
      <xdr:col>21</xdr:col>
      <xdr:colOff>318654</xdr:colOff>
      <xdr:row>58</xdr:row>
      <xdr:rowOff>96981</xdr:rowOff>
    </xdr:to>
    <xdr:sp macro="" textlink="">
      <xdr:nvSpPr>
        <xdr:cNvPr id="31" name="TextBox 30">
          <a:extLst>
            <a:ext uri="{FF2B5EF4-FFF2-40B4-BE49-F238E27FC236}">
              <a16:creationId xmlns:a16="http://schemas.microsoft.com/office/drawing/2014/main" xmlns="" id="{97254A3C-2EF2-41D4-A6F8-18E7FA1B6223}"/>
            </a:ext>
          </a:extLst>
        </xdr:cNvPr>
        <xdr:cNvSpPr txBox="1"/>
      </xdr:nvSpPr>
      <xdr:spPr>
        <a:xfrm>
          <a:off x="11028218" y="10349345"/>
          <a:ext cx="1537854"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2800" b="1">
            <a:latin typeface="+mj-lt"/>
            <a:ea typeface="Segoe UI Black" panose="020B0A02040204020203"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SUS" refreshedDate="45753.648684490741" createdVersion="8" refreshedVersion="8" minRefreshableVersion="3" recordCount="30">
  <cacheSource type="worksheet">
    <worksheetSource name="Table1"/>
  </cacheSource>
  <cacheFields count="8">
    <cacheField name="Dimming Technology" numFmtId="0">
      <sharedItems count="4">
        <s v="Phase Cut Dimming"/>
        <s v="DALI Dimming"/>
        <s v="0 to 10v Dimming"/>
        <s v="Phase Cut Dimming Technology" u="1"/>
      </sharedItems>
    </cacheField>
    <cacheField name="Intensity (%)" numFmtId="0">
      <sharedItems containsSemiMixedTypes="0" containsString="0" containsNumber="1" containsInteger="1" minValue="10" maxValue="100" count="10">
        <n v="10"/>
        <n v="20"/>
        <n v="30"/>
        <n v="40"/>
        <n v="50"/>
        <n v="60"/>
        <n v="70"/>
        <n v="80"/>
        <n v="90"/>
        <n v="100"/>
      </sharedItems>
    </cacheField>
    <cacheField name="Current (mA)" numFmtId="0">
      <sharedItems containsSemiMixedTypes="0" containsString="0" containsNumber="1" minValue="0" maxValue="210.2"/>
    </cacheField>
    <cacheField name="Power (W)" numFmtId="0">
      <sharedItems containsSemiMixedTypes="0" containsString="0" containsNumber="1" minValue="0" maxValue="31.51"/>
    </cacheField>
    <cacheField name="Lux (Lumen)" numFmtId="0">
      <sharedItems containsSemiMixedTypes="0" containsString="0" containsNumber="1" containsInteger="1" minValue="0" maxValue="3200"/>
    </cacheField>
    <cacheField name="Harmonics - 3rd" numFmtId="0">
      <sharedItems containsSemiMixedTypes="0" containsString="0" containsNumber="1" minValue="0" maxValue="13.433999999999999"/>
    </cacheField>
    <cacheField name="Harmonics - 5th" numFmtId="0">
      <sharedItems containsSemiMixedTypes="0" containsString="0" containsNumber="1" minValue="0" maxValue="2.1539999999999999"/>
    </cacheField>
    <cacheField name="Harmonics - 7th" numFmtId="0">
      <sharedItems containsSemiMixedTypes="0" containsString="0" containsNumber="1" minValue="0" maxValue="3.7839999999999998"/>
    </cacheField>
  </cacheFields>
  <extLst>
    <ext xmlns:x14="http://schemas.microsoft.com/office/spreadsheetml/2009/9/main" uri="{725AE2AE-9491-48be-B2B4-4EB974FC3084}">
      <x14:pivotCacheDefinition pivotCacheId="13678256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x v="0"/>
    <n v="0"/>
    <n v="0"/>
    <n v="0"/>
    <n v="0"/>
    <n v="0"/>
    <n v="0"/>
  </r>
  <r>
    <x v="0"/>
    <x v="1"/>
    <n v="16.899999999999999"/>
    <n v="0.84"/>
    <n v="25"/>
    <n v="12.752000000000001"/>
    <n v="1.5840000000000001"/>
    <n v="3.2240000000000002"/>
  </r>
  <r>
    <x v="0"/>
    <x v="2"/>
    <n v="29.4"/>
    <n v="1.35"/>
    <n v="62"/>
    <n v="12.784000000000001"/>
    <n v="1.7410000000000001"/>
    <n v="3.5150000000000001"/>
  </r>
  <r>
    <x v="0"/>
    <x v="3"/>
    <n v="68.8"/>
    <n v="5.48"/>
    <n v="100"/>
    <n v="12.476000000000001"/>
    <n v="1.6950000000000001"/>
    <n v="3.2160000000000002"/>
  </r>
  <r>
    <x v="0"/>
    <x v="4"/>
    <n v="82.6"/>
    <n v="7.56"/>
    <n v="400"/>
    <n v="12.821"/>
    <n v="1.8480000000000001"/>
    <n v="3.3690000000000002"/>
  </r>
  <r>
    <x v="0"/>
    <x v="5"/>
    <n v="122.2"/>
    <n v="12.68"/>
    <n v="500"/>
    <n v="12.933"/>
    <n v="1.7989999999999999"/>
    <n v="3.3849999999999998"/>
  </r>
  <r>
    <x v="0"/>
    <x v="6"/>
    <n v="130"/>
    <n v="14"/>
    <n v="1100"/>
    <n v="13.102"/>
    <n v="1.369"/>
    <n v="2.911"/>
  </r>
  <r>
    <x v="0"/>
    <x v="7"/>
    <n v="184.2"/>
    <n v="21.013999999999999"/>
    <n v="1600"/>
    <n v="13.433999999999999"/>
    <n v="1.097"/>
    <n v="2.5649999999999999"/>
  </r>
  <r>
    <x v="0"/>
    <x v="8"/>
    <n v="210.2"/>
    <n v="30.6"/>
    <n v="2300"/>
    <n v="13.053000000000001"/>
    <n v="2.1539999999999999"/>
    <n v="3.7839999999999998"/>
  </r>
  <r>
    <x v="0"/>
    <x v="9"/>
    <n v="135.84"/>
    <n v="29.89"/>
    <n v="2500"/>
    <n v="12.747999999999999"/>
    <n v="1.385"/>
    <n v="3.161"/>
  </r>
  <r>
    <x v="1"/>
    <x v="0"/>
    <n v="66.900000000000006"/>
    <n v="3.87"/>
    <n v="700"/>
    <n v="1.1459999999999999"/>
    <n v="0.70299999999999996"/>
    <n v="1.2470000000000001"/>
  </r>
  <r>
    <x v="1"/>
    <x v="1"/>
    <n v="72.849999999999994"/>
    <n v="6.71"/>
    <n v="1000"/>
    <n v="0.97"/>
    <n v="0.622"/>
    <n v="1.347"/>
  </r>
  <r>
    <x v="1"/>
    <x v="2"/>
    <n v="79.73"/>
    <n v="9.32"/>
    <n v="1400"/>
    <n v="1.139"/>
    <n v="0.52400000000000002"/>
    <n v="1.26"/>
  </r>
  <r>
    <x v="1"/>
    <x v="3"/>
    <n v="87.32"/>
    <n v="12.21"/>
    <n v="1800"/>
    <n v="1.089"/>
    <n v="0.54700000000000004"/>
    <n v="1.23"/>
  </r>
  <r>
    <x v="1"/>
    <x v="4"/>
    <n v="95.42"/>
    <n v="14.95"/>
    <n v="2100"/>
    <n v="1.044"/>
    <n v="0.57699999999999996"/>
    <n v="1.2110000000000001"/>
  </r>
  <r>
    <x v="1"/>
    <x v="5"/>
    <n v="105.68"/>
    <n v="18.16"/>
    <n v="2300"/>
    <n v="1.101"/>
    <n v="0.53900000000000003"/>
    <n v="1.24"/>
  </r>
  <r>
    <x v="1"/>
    <x v="6"/>
    <n v="117.44"/>
    <n v="21.59"/>
    <n v="2500"/>
    <n v="1.048"/>
    <n v="0.53"/>
    <n v="1.286"/>
  </r>
  <r>
    <x v="1"/>
    <x v="7"/>
    <n v="124.49"/>
    <n v="23.65"/>
    <n v="2700"/>
    <n v="1.0860000000000001"/>
    <n v="0.58099999999999996"/>
    <n v="1.339"/>
  </r>
  <r>
    <x v="1"/>
    <x v="8"/>
    <n v="137.69999999999999"/>
    <n v="27.27"/>
    <n v="2900"/>
    <n v="1.044"/>
    <n v="0.45900000000000002"/>
    <n v="1.3919999999999999"/>
  </r>
  <r>
    <x v="1"/>
    <x v="9"/>
    <n v="146.97999999999999"/>
    <n v="29.54"/>
    <n v="3200"/>
    <n v="1.167"/>
    <n v="0.621"/>
    <n v="1.5129999999999999"/>
  </r>
  <r>
    <x v="2"/>
    <x v="0"/>
    <n v="146.25"/>
    <n v="31.51"/>
    <n v="200"/>
    <n v="8.0980000000000008"/>
    <n v="1.1859999999999999"/>
    <n v="3.7029999999999998"/>
  </r>
  <r>
    <x v="2"/>
    <x v="1"/>
    <n v="146.25"/>
    <n v="31.51"/>
    <n v="400"/>
    <n v="8.5730000000000004"/>
    <n v="1.5840000000000001"/>
    <n v="3.3620000000000001"/>
  </r>
  <r>
    <x v="2"/>
    <x v="2"/>
    <n v="146.25"/>
    <n v="31.51"/>
    <n v="500"/>
    <n v="8.1679999999999993"/>
    <n v="1.1539999999999999"/>
    <n v="3.6619999999999999"/>
  </r>
  <r>
    <x v="2"/>
    <x v="3"/>
    <n v="146.25"/>
    <n v="31.51"/>
    <n v="800"/>
    <n v="8.0370000000000008"/>
    <n v="1.288"/>
    <n v="3.6440000000000001"/>
  </r>
  <r>
    <x v="2"/>
    <x v="4"/>
    <n v="146.25"/>
    <n v="31.51"/>
    <n v="1000"/>
    <n v="8.1280000000000001"/>
    <n v="1.2030000000000001"/>
    <n v="3.585"/>
  </r>
  <r>
    <x v="2"/>
    <x v="5"/>
    <n v="146.25"/>
    <n v="31.51"/>
    <n v="1200"/>
    <n v="7.9930000000000003"/>
    <n v="1.1040000000000001"/>
    <n v="3.7749999999999999"/>
  </r>
  <r>
    <x v="2"/>
    <x v="6"/>
    <n v="146.25"/>
    <n v="31.51"/>
    <n v="1400"/>
    <n v="8.0129999999999999"/>
    <n v="1.2490000000000001"/>
    <n v="3.7040000000000002"/>
  </r>
  <r>
    <x v="2"/>
    <x v="7"/>
    <n v="146.25"/>
    <n v="31.51"/>
    <n v="1600"/>
    <n v="8.1199999999999992"/>
    <n v="1.1519999999999999"/>
    <n v="3.7149999999999999"/>
  </r>
  <r>
    <x v="2"/>
    <x v="8"/>
    <n v="146.25"/>
    <n v="31.51"/>
    <n v="1800"/>
    <n v="7.8040000000000003"/>
    <n v="1.38"/>
    <n v="3.423"/>
  </r>
  <r>
    <x v="2"/>
    <x v="9"/>
    <n v="146.25"/>
    <n v="31.51"/>
    <n v="1900"/>
    <n v="8.2040000000000006"/>
    <n v="1.3879999999999999"/>
    <n v="3.4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4" minRefreshableVersion="3" useAutoFormatting="1" itemPrintTitles="1" createdVersion="8" indent="0" outline="1" outlineData="1" multipleFieldFilters="0" chartFormat="16">
  <location ref="B3:F15" firstHeaderRow="1" firstDataRow="2" firstDataCol="1"/>
  <pivotFields count="8">
    <pivotField axis="axisCol" showAll="0">
      <items count="5">
        <item x="2"/>
        <item x="1"/>
        <item x="0"/>
        <item m="1" x="3"/>
        <item t="default"/>
      </items>
    </pivotField>
    <pivotField axis="axisRow" showAll="0">
      <items count="11">
        <item x="0"/>
        <item x="1"/>
        <item x="2"/>
        <item x="3"/>
        <item x="4"/>
        <item x="5"/>
        <item x="6"/>
        <item x="7"/>
        <item x="8"/>
        <item x="9"/>
        <item t="default"/>
      </items>
    </pivotField>
    <pivotField showAll="0"/>
    <pivotField dataField="1" showAll="0"/>
    <pivotField showAll="0"/>
    <pivotField showAll="0"/>
    <pivotField showAll="0"/>
    <pivotField showAll="0"/>
  </pivotFields>
  <rowFields count="1">
    <field x="1"/>
  </rowFields>
  <rowItems count="11">
    <i>
      <x/>
    </i>
    <i>
      <x v="1"/>
    </i>
    <i>
      <x v="2"/>
    </i>
    <i>
      <x v="3"/>
    </i>
    <i>
      <x v="4"/>
    </i>
    <i>
      <x v="5"/>
    </i>
    <i>
      <x v="6"/>
    </i>
    <i>
      <x v="7"/>
    </i>
    <i>
      <x v="8"/>
    </i>
    <i>
      <x v="9"/>
    </i>
    <i t="grand">
      <x/>
    </i>
  </rowItems>
  <colFields count="1">
    <field x="0"/>
  </colFields>
  <colItems count="4">
    <i>
      <x/>
    </i>
    <i>
      <x v="1"/>
    </i>
    <i>
      <x v="2"/>
    </i>
    <i t="grand">
      <x/>
    </i>
  </colItems>
  <dataFields count="1">
    <dataField name="Sum of Power (W)" fld="3" baseField="0" baseItem="0"/>
  </dataFields>
  <chartFormats count="8">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2">
          <reference field="4294967294" count="1" selected="0">
            <x v="0"/>
          </reference>
          <reference field="0" count="1" selected="0">
            <x v="1"/>
          </reference>
        </references>
      </pivotArea>
    </chartFormat>
    <chartFormat chart="4" format="4" series="1">
      <pivotArea type="data" outline="0" fieldPosition="0">
        <references count="2">
          <reference field="4294967294" count="1" selected="0">
            <x v="0"/>
          </reference>
          <reference field="0" count="1" selected="0">
            <x v="2"/>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4" format="5" series="1">
      <pivotArea type="data" outline="0" fieldPosition="0">
        <references count="2">
          <reference field="4294967294" count="1" selected="0">
            <x v="0"/>
          </reference>
          <reference field="0" count="1" selected="0">
            <x v="0"/>
          </reference>
        </references>
      </pivotArea>
    </chartFormat>
    <chartFormat chart="0" format="3" series="1">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4" minRefreshableVersion="3" useAutoFormatting="1" itemPrintTitles="1" createdVersion="8" indent="0" outline="1" outlineData="1" multipleFieldFilters="0" chartFormat="14">
  <location ref="B64:F76" firstHeaderRow="1" firstDataRow="2" firstDataCol="1"/>
  <pivotFields count="8">
    <pivotField axis="axisCol" showAll="0">
      <items count="5">
        <item x="2"/>
        <item x="1"/>
        <item x="0"/>
        <item m="1" x="3"/>
        <item t="default"/>
      </items>
    </pivotField>
    <pivotField axis="axisRow" showAll="0">
      <items count="11">
        <item x="0"/>
        <item x="1"/>
        <item x="2"/>
        <item x="3"/>
        <item x="4"/>
        <item x="5"/>
        <item x="6"/>
        <item x="7"/>
        <item x="8"/>
        <item x="9"/>
        <item t="default"/>
      </items>
    </pivotField>
    <pivotField showAll="0"/>
    <pivotField showAll="0"/>
    <pivotField showAll="0"/>
    <pivotField showAll="0"/>
    <pivotField dataField="1" showAll="0"/>
    <pivotField showAll="0"/>
  </pivotFields>
  <rowFields count="1">
    <field x="1"/>
  </rowFields>
  <rowItems count="11">
    <i>
      <x/>
    </i>
    <i>
      <x v="1"/>
    </i>
    <i>
      <x v="2"/>
    </i>
    <i>
      <x v="3"/>
    </i>
    <i>
      <x v="4"/>
    </i>
    <i>
      <x v="5"/>
    </i>
    <i>
      <x v="6"/>
    </i>
    <i>
      <x v="7"/>
    </i>
    <i>
      <x v="8"/>
    </i>
    <i>
      <x v="9"/>
    </i>
    <i t="grand">
      <x/>
    </i>
  </rowItems>
  <colFields count="1">
    <field x="0"/>
  </colFields>
  <colItems count="4">
    <i>
      <x/>
    </i>
    <i>
      <x v="1"/>
    </i>
    <i>
      <x v="2"/>
    </i>
    <i t="grand">
      <x/>
    </i>
  </colItems>
  <dataFields count="1">
    <dataField name="Sum of Harmonics - 5th" fld="6" baseField="0" baseItem="0"/>
  </dataFields>
  <chartFormats count="8">
    <chartFormat chart="9" format="0" series="1">
      <pivotArea type="data" outline="0" fieldPosition="0">
        <references count="2">
          <reference field="4294967294" count="1" selected="0">
            <x v="0"/>
          </reference>
          <reference field="0" count="1" selected="0">
            <x v="0"/>
          </reference>
        </references>
      </pivotArea>
    </chartFormat>
    <chartFormat chart="9" format="1" series="1">
      <pivotArea type="data" outline="0" fieldPosition="0">
        <references count="2">
          <reference field="4294967294" count="1" selected="0">
            <x v="0"/>
          </reference>
          <reference field="0" count="1" selected="0">
            <x v="1"/>
          </reference>
        </references>
      </pivotArea>
    </chartFormat>
    <chartFormat chart="9" format="2" series="1">
      <pivotArea type="data" outline="0" fieldPosition="0">
        <references count="2">
          <reference field="4294967294" count="1" selected="0">
            <x v="0"/>
          </reference>
          <reference field="0" count="1" selected="0">
            <x v="2"/>
          </reference>
        </references>
      </pivotArea>
    </chartFormat>
    <chartFormat chart="13" format="6" series="1">
      <pivotArea type="data" outline="0" fieldPosition="0">
        <references count="2">
          <reference field="4294967294" count="1" selected="0">
            <x v="0"/>
          </reference>
          <reference field="0" count="1" selected="0">
            <x v="0"/>
          </reference>
        </references>
      </pivotArea>
    </chartFormat>
    <chartFormat chart="13" format="7" series="1">
      <pivotArea type="data" outline="0" fieldPosition="0">
        <references count="2">
          <reference field="4294967294" count="1" selected="0">
            <x v="0"/>
          </reference>
          <reference field="0" count="1" selected="0">
            <x v="1"/>
          </reference>
        </references>
      </pivotArea>
    </chartFormat>
    <chartFormat chart="13" format="8" series="1">
      <pivotArea type="data" outline="0" fieldPosition="0">
        <references count="2">
          <reference field="4294967294" count="1" selected="0">
            <x v="0"/>
          </reference>
          <reference field="0" count="1" selected="0">
            <x v="2"/>
          </reference>
        </references>
      </pivotArea>
    </chartFormat>
    <chartFormat chart="13" format="9"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4" minRefreshableVersion="3" useAutoFormatting="1" itemPrintTitles="1" createdVersion="8" indent="0" outline="1" outlineData="1" multipleFieldFilters="0" chartFormat="17">
  <location ref="B96:F108" firstHeaderRow="1" firstDataRow="2" firstDataCol="1"/>
  <pivotFields count="8">
    <pivotField axis="axisCol" showAll="0">
      <items count="5">
        <item x="2"/>
        <item x="1"/>
        <item x="0"/>
        <item m="1" x="3"/>
        <item t="default"/>
      </items>
    </pivotField>
    <pivotField axis="axisRow" showAll="0">
      <items count="11">
        <item x="0"/>
        <item x="1"/>
        <item x="2"/>
        <item x="3"/>
        <item x="4"/>
        <item x="5"/>
        <item x="6"/>
        <item x="7"/>
        <item x="8"/>
        <item x="9"/>
        <item t="default"/>
      </items>
    </pivotField>
    <pivotField dataField="1" showAll="0"/>
    <pivotField showAll="0"/>
    <pivotField showAll="0"/>
    <pivotField showAll="0"/>
    <pivotField showAll="0"/>
    <pivotField showAll="0"/>
  </pivotFields>
  <rowFields count="1">
    <field x="1"/>
  </rowFields>
  <rowItems count="11">
    <i>
      <x/>
    </i>
    <i>
      <x v="1"/>
    </i>
    <i>
      <x v="2"/>
    </i>
    <i>
      <x v="3"/>
    </i>
    <i>
      <x v="4"/>
    </i>
    <i>
      <x v="5"/>
    </i>
    <i>
      <x v="6"/>
    </i>
    <i>
      <x v="7"/>
    </i>
    <i>
      <x v="8"/>
    </i>
    <i>
      <x v="9"/>
    </i>
    <i t="grand">
      <x/>
    </i>
  </rowItems>
  <colFields count="1">
    <field x="0"/>
  </colFields>
  <colItems count="4">
    <i>
      <x/>
    </i>
    <i>
      <x v="1"/>
    </i>
    <i>
      <x v="2"/>
    </i>
    <i t="grand">
      <x/>
    </i>
  </colItems>
  <dataFields count="1">
    <dataField name="Sum of Current (mA)" fld="2" baseField="1" baseItem="0"/>
  </dataFields>
  <chartFormats count="9">
    <chartFormat chart="10" format="2" series="1">
      <pivotArea type="data" outline="0" fieldPosition="0">
        <references count="1">
          <reference field="4294967294" count="1" selected="0">
            <x v="0"/>
          </reference>
        </references>
      </pivotArea>
    </chartFormat>
    <chartFormat chart="10" format="3" series="1">
      <pivotArea type="data" outline="0" fieldPosition="0">
        <references count="2">
          <reference field="4294967294" count="1" selected="0">
            <x v="0"/>
          </reference>
          <reference field="0" count="1" selected="0">
            <x v="1"/>
          </reference>
        </references>
      </pivotArea>
    </chartFormat>
    <chartFormat chart="10" format="4" series="1">
      <pivotArea type="data" outline="0" fieldPosition="0">
        <references count="2">
          <reference field="4294967294" count="1" selected="0">
            <x v="0"/>
          </reference>
          <reference field="0" count="1" selected="0">
            <x v="2"/>
          </reference>
        </references>
      </pivotArea>
    </chartFormat>
    <chartFormat chart="10" format="5" series="1">
      <pivotArea type="data" outline="0" fieldPosition="0">
        <references count="2">
          <reference field="4294967294" count="1" selected="0">
            <x v="0"/>
          </reference>
          <reference field="0" count="1" selected="0">
            <x v="3"/>
          </reference>
        </references>
      </pivotArea>
    </chartFormat>
    <chartFormat chart="15" format="0" series="1">
      <pivotArea type="data" outline="0" fieldPosition="0">
        <references count="2">
          <reference field="4294967294" count="1" selected="0">
            <x v="0"/>
          </reference>
          <reference field="0" count="1" selected="0">
            <x v="0"/>
          </reference>
        </references>
      </pivotArea>
    </chartFormat>
    <chartFormat chart="15" format="1" series="1">
      <pivotArea type="data" outline="0" fieldPosition="0">
        <references count="2">
          <reference field="4294967294" count="1" selected="0">
            <x v="0"/>
          </reference>
          <reference field="0" count="1" selected="0">
            <x v="1"/>
          </reference>
        </references>
      </pivotArea>
    </chartFormat>
    <chartFormat chart="15" format="2" series="1">
      <pivotArea type="data" outline="0" fieldPosition="0">
        <references count="2">
          <reference field="4294967294" count="1" selected="0">
            <x v="0"/>
          </reference>
          <reference field="0" count="1" selected="0">
            <x v="2"/>
          </reference>
        </references>
      </pivotArea>
    </chartFormat>
    <chartFormat chart="10" format="6" series="1">
      <pivotArea type="data" outline="0" fieldPosition="0">
        <references count="2">
          <reference field="4294967294" count="1" selected="0">
            <x v="0"/>
          </reference>
          <reference field="0" count="1" selected="0">
            <x v="0"/>
          </reference>
        </references>
      </pivotArea>
    </chartFormat>
    <chartFormat chart="1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4" minRefreshableVersion="3" useAutoFormatting="1" itemPrintTitles="1" createdVersion="8" indent="0" outline="1" outlineData="1" multipleFieldFilters="0" chartFormat="18">
  <location ref="B44:F56" firstHeaderRow="1" firstDataRow="2" firstDataCol="1"/>
  <pivotFields count="8">
    <pivotField axis="axisCol" showAll="0">
      <items count="5">
        <item x="2"/>
        <item x="1"/>
        <item x="0"/>
        <item m="1" x="3"/>
        <item t="default"/>
      </items>
    </pivotField>
    <pivotField axis="axisRow" showAll="0">
      <items count="11">
        <item x="0"/>
        <item x="1"/>
        <item x="2"/>
        <item x="3"/>
        <item x="4"/>
        <item x="5"/>
        <item x="6"/>
        <item x="7"/>
        <item x="8"/>
        <item x="9"/>
        <item t="default"/>
      </items>
    </pivotField>
    <pivotField showAll="0"/>
    <pivotField showAll="0"/>
    <pivotField showAll="0"/>
    <pivotField dataField="1" showAll="0"/>
    <pivotField showAll="0"/>
    <pivotField showAll="0"/>
  </pivotFields>
  <rowFields count="1">
    <field x="1"/>
  </rowFields>
  <rowItems count="11">
    <i>
      <x/>
    </i>
    <i>
      <x v="1"/>
    </i>
    <i>
      <x v="2"/>
    </i>
    <i>
      <x v="3"/>
    </i>
    <i>
      <x v="4"/>
    </i>
    <i>
      <x v="5"/>
    </i>
    <i>
      <x v="6"/>
    </i>
    <i>
      <x v="7"/>
    </i>
    <i>
      <x v="8"/>
    </i>
    <i>
      <x v="9"/>
    </i>
    <i t="grand">
      <x/>
    </i>
  </rowItems>
  <colFields count="1">
    <field x="0"/>
  </colFields>
  <colItems count="4">
    <i>
      <x/>
    </i>
    <i>
      <x v="1"/>
    </i>
    <i>
      <x v="2"/>
    </i>
    <i t="grand">
      <x/>
    </i>
  </colItems>
  <dataFields count="1">
    <dataField name="Sum of Harmonics - 3rd" fld="5" baseField="0" baseItem="0"/>
  </dataFields>
  <chartFormats count="8">
    <chartFormat chart="9" format="0" series="1">
      <pivotArea type="data" outline="0" fieldPosition="0">
        <references count="2">
          <reference field="4294967294" count="1" selected="0">
            <x v="0"/>
          </reference>
          <reference field="0" count="1" selected="0">
            <x v="0"/>
          </reference>
        </references>
      </pivotArea>
    </chartFormat>
    <chartFormat chart="9" format="1" series="1">
      <pivotArea type="data" outline="0" fieldPosition="0">
        <references count="2">
          <reference field="4294967294" count="1" selected="0">
            <x v="0"/>
          </reference>
          <reference field="0" count="1" selected="0">
            <x v="1"/>
          </reference>
        </references>
      </pivotArea>
    </chartFormat>
    <chartFormat chart="9" format="2" series="1">
      <pivotArea type="data" outline="0" fieldPosition="0">
        <references count="2">
          <reference field="4294967294" count="1" selected="0">
            <x v="0"/>
          </reference>
          <reference field="0" count="1" selected="0">
            <x v="2"/>
          </reference>
        </references>
      </pivotArea>
    </chartFormat>
    <chartFormat chart="13" format="6" series="1">
      <pivotArea type="data" outline="0" fieldPosition="0">
        <references count="2">
          <reference field="4294967294" count="1" selected="0">
            <x v="0"/>
          </reference>
          <reference field="0" count="1" selected="0">
            <x v="0"/>
          </reference>
        </references>
      </pivotArea>
    </chartFormat>
    <chartFormat chart="13" format="7" series="1">
      <pivotArea type="data" outline="0" fieldPosition="0">
        <references count="2">
          <reference field="4294967294" count="1" selected="0">
            <x v="0"/>
          </reference>
          <reference field="0" count="1" selected="0">
            <x v="1"/>
          </reference>
        </references>
      </pivotArea>
    </chartFormat>
    <chartFormat chart="13" format="8" series="1">
      <pivotArea type="data" outline="0" fieldPosition="0">
        <references count="2">
          <reference field="4294967294" count="1" selected="0">
            <x v="0"/>
          </reference>
          <reference field="0" count="1" selected="0">
            <x v="2"/>
          </reference>
        </references>
      </pivotArea>
    </chartFormat>
    <chartFormat chart="13" format="9"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4" minRefreshableVersion="3" useAutoFormatting="1" itemPrintTitles="1" createdVersion="8" indent="0" outline="1" outlineData="1" multipleFieldFilters="0" chartFormat="15">
  <location ref="B24:F36" firstHeaderRow="1" firstDataRow="2" firstDataCol="1"/>
  <pivotFields count="8">
    <pivotField axis="axisCol" showAll="0">
      <items count="5">
        <item x="2"/>
        <item x="1"/>
        <item x="0"/>
        <item m="1" x="3"/>
        <item t="default"/>
      </items>
    </pivotField>
    <pivotField axis="axisRow" showAll="0">
      <items count="11">
        <item x="0"/>
        <item x="1"/>
        <item x="2"/>
        <item x="3"/>
        <item x="4"/>
        <item x="5"/>
        <item x="6"/>
        <item x="7"/>
        <item x="8"/>
        <item x="9"/>
        <item t="default"/>
      </items>
    </pivotField>
    <pivotField showAll="0"/>
    <pivotField showAll="0"/>
    <pivotField dataField="1" showAll="0"/>
    <pivotField showAll="0"/>
    <pivotField showAll="0"/>
    <pivotField showAll="0"/>
  </pivotFields>
  <rowFields count="1">
    <field x="1"/>
  </rowFields>
  <rowItems count="11">
    <i>
      <x/>
    </i>
    <i>
      <x v="1"/>
    </i>
    <i>
      <x v="2"/>
    </i>
    <i>
      <x v="3"/>
    </i>
    <i>
      <x v="4"/>
    </i>
    <i>
      <x v="5"/>
    </i>
    <i>
      <x v="6"/>
    </i>
    <i>
      <x v="7"/>
    </i>
    <i>
      <x v="8"/>
    </i>
    <i>
      <x v="9"/>
    </i>
    <i t="grand">
      <x/>
    </i>
  </rowItems>
  <colFields count="1">
    <field x="0"/>
  </colFields>
  <colItems count="4">
    <i>
      <x/>
    </i>
    <i>
      <x v="1"/>
    </i>
    <i>
      <x v="2"/>
    </i>
    <i t="grand">
      <x/>
    </i>
  </colItems>
  <dataFields count="1">
    <dataField name="Average of Lux (Lumen)" fld="4" subtotal="average" baseField="1" baseItem="0"/>
  </dataFields>
  <chartFormats count="8">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series="1">
      <pivotArea type="data" outline="0" fieldPosition="0">
        <references count="2">
          <reference field="4294967294" count="1" selected="0">
            <x v="0"/>
          </reference>
          <reference field="0" count="1" selected="0">
            <x v="1"/>
          </reference>
        </references>
      </pivotArea>
    </chartFormat>
    <chartFormat chart="6" format="4" series="1">
      <pivotArea type="data" outline="0" fieldPosition="0">
        <references count="2">
          <reference field="4294967294" count="1" selected="0">
            <x v="0"/>
          </reference>
          <reference field="0" count="1" selected="0">
            <x v="2"/>
          </reference>
        </references>
      </pivotArea>
    </chartFormat>
    <chartFormat chart="2" format="1" series="1">
      <pivotArea type="data" outline="0" fieldPosition="0">
        <references count="2">
          <reference field="4294967294" count="1" selected="0">
            <x v="0"/>
          </reference>
          <reference field="0" count="1" selected="0">
            <x v="1"/>
          </reference>
        </references>
      </pivotArea>
    </chartFormat>
    <chartFormat chart="2" format="2" series="1">
      <pivotArea type="data" outline="0" fieldPosition="0">
        <references count="2">
          <reference field="4294967294" count="1" selected="0">
            <x v="0"/>
          </reference>
          <reference field="0" count="1" selected="0">
            <x v="2"/>
          </reference>
        </references>
      </pivotArea>
    </chartFormat>
    <chartFormat chart="6" format="5" series="1">
      <pivotArea type="data" outline="0" fieldPosition="0">
        <references count="2">
          <reference field="4294967294" count="1" selected="0">
            <x v="0"/>
          </reference>
          <reference field="0" count="1" selected="0">
            <x v="0"/>
          </reference>
        </references>
      </pivotArea>
    </chartFormat>
    <chartFormat chart="2" format="3" series="1">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4" minRefreshableVersion="3" useAutoFormatting="1" itemPrintTitles="1" createdVersion="8" indent="0" outline="1" outlineData="1" multipleFieldFilters="0" chartFormat="14">
  <location ref="B81:F93" firstHeaderRow="1" firstDataRow="2" firstDataCol="1"/>
  <pivotFields count="8">
    <pivotField axis="axisCol" showAll="0">
      <items count="5">
        <item x="2"/>
        <item x="1"/>
        <item x="0"/>
        <item m="1" x="3"/>
        <item t="default"/>
      </items>
    </pivotField>
    <pivotField axis="axisRow" showAll="0">
      <items count="11">
        <item x="0"/>
        <item x="1"/>
        <item x="2"/>
        <item x="3"/>
        <item x="4"/>
        <item x="5"/>
        <item x="6"/>
        <item x="7"/>
        <item x="8"/>
        <item x="9"/>
        <item t="default"/>
      </items>
    </pivotField>
    <pivotField showAll="0"/>
    <pivotField showAll="0"/>
    <pivotField showAll="0"/>
    <pivotField showAll="0"/>
    <pivotField showAll="0"/>
    <pivotField dataField="1" showAll="0"/>
  </pivotFields>
  <rowFields count="1">
    <field x="1"/>
  </rowFields>
  <rowItems count="11">
    <i>
      <x/>
    </i>
    <i>
      <x v="1"/>
    </i>
    <i>
      <x v="2"/>
    </i>
    <i>
      <x v="3"/>
    </i>
    <i>
      <x v="4"/>
    </i>
    <i>
      <x v="5"/>
    </i>
    <i>
      <x v="6"/>
    </i>
    <i>
      <x v="7"/>
    </i>
    <i>
      <x v="8"/>
    </i>
    <i>
      <x v="9"/>
    </i>
    <i t="grand">
      <x/>
    </i>
  </rowItems>
  <colFields count="1">
    <field x="0"/>
  </colFields>
  <colItems count="4">
    <i>
      <x/>
    </i>
    <i>
      <x v="1"/>
    </i>
    <i>
      <x v="2"/>
    </i>
    <i t="grand">
      <x/>
    </i>
  </colItems>
  <dataFields count="1">
    <dataField name="Sum of Harmonics - 7th" fld="7" baseField="0" baseItem="0"/>
  </dataFields>
  <chartFormats count="8">
    <chartFormat chart="9" format="0" series="1">
      <pivotArea type="data" outline="0" fieldPosition="0">
        <references count="2">
          <reference field="4294967294" count="1" selected="0">
            <x v="0"/>
          </reference>
          <reference field="0" count="1" selected="0">
            <x v="0"/>
          </reference>
        </references>
      </pivotArea>
    </chartFormat>
    <chartFormat chart="9" format="1" series="1">
      <pivotArea type="data" outline="0" fieldPosition="0">
        <references count="2">
          <reference field="4294967294" count="1" selected="0">
            <x v="0"/>
          </reference>
          <reference field="0" count="1" selected="0">
            <x v="1"/>
          </reference>
        </references>
      </pivotArea>
    </chartFormat>
    <chartFormat chart="9" format="2" series="1">
      <pivotArea type="data" outline="0" fieldPosition="0">
        <references count="2">
          <reference field="4294967294" count="1" selected="0">
            <x v="0"/>
          </reference>
          <reference field="0" count="1" selected="0">
            <x v="2"/>
          </reference>
        </references>
      </pivotArea>
    </chartFormat>
    <chartFormat chart="13" format="6" series="1">
      <pivotArea type="data" outline="0" fieldPosition="0">
        <references count="2">
          <reference field="4294967294" count="1" selected="0">
            <x v="0"/>
          </reference>
          <reference field="0" count="1" selected="0">
            <x v="0"/>
          </reference>
        </references>
      </pivotArea>
    </chartFormat>
    <chartFormat chart="13" format="7" series="1">
      <pivotArea type="data" outline="0" fieldPosition="0">
        <references count="2">
          <reference field="4294967294" count="1" selected="0">
            <x v="0"/>
          </reference>
          <reference field="0" count="1" selected="0">
            <x v="1"/>
          </reference>
        </references>
      </pivotArea>
    </chartFormat>
    <chartFormat chart="13" format="8" series="1">
      <pivotArea type="data" outline="0" fieldPosition="0">
        <references count="2">
          <reference field="4294967294" count="1" selected="0">
            <x v="0"/>
          </reference>
          <reference field="0" count="1" selected="0">
            <x v="2"/>
          </reference>
        </references>
      </pivotArea>
    </chartFormat>
    <chartFormat chart="13" format="9"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imming_Technology" sourceName="Dimming Technology">
  <pivotTables>
    <pivotTable tabId="2" name="PivotTable9"/>
    <pivotTable tabId="2" name="PivotTable6"/>
    <pivotTable tabId="2" name="PivotTable7"/>
    <pivotTable tabId="2" name="PivotTable8"/>
    <pivotTable tabId="2" name="PivotTable10"/>
    <pivotTable tabId="2" name="PivotTable11"/>
  </pivotTables>
  <data>
    <tabular pivotCacheId="1367825634" crossFilter="showItemsWithNoData">
      <items count="4">
        <i x="2" s="1"/>
        <i x="1" s="1"/>
        <i x="0"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Intensity" sourceName="Intensity (%)">
  <pivotTables>
    <pivotTable tabId="2" name="PivotTable9"/>
    <pivotTable tabId="2" name="PivotTable6"/>
    <pivotTable tabId="2" name="PivotTable7"/>
    <pivotTable tabId="2" name="PivotTable8"/>
    <pivotTable tabId="2" name="PivotTable10"/>
    <pivotTable tabId="2" name="PivotTable11"/>
  </pivotTables>
  <data>
    <tabular pivotCacheId="1367825634">
      <items count="10">
        <i x="0" s="1"/>
        <i x="1" s="1"/>
        <i x="2" s="1"/>
        <i x="3" s="1"/>
        <i x="4" s="1"/>
        <i x="5" s="1"/>
        <i x="6" s="1"/>
        <i x="7" s="1"/>
        <i x="8"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imming Technology" cache="Slicer_Dimming_Technology" caption="Dimming Technology" style="SlicerStyleLight2" rowHeight="234950"/>
  <slicer name="Intensity (%)" cache="Slicer_Intensity" caption="Intensity (%)" style="SlicerStyleLight2" rowHeight="234950"/>
</slicers>
</file>

<file path=xl/tables/table1.xml><?xml version="1.0" encoding="utf-8"?>
<table xmlns="http://schemas.openxmlformats.org/spreadsheetml/2006/main" id="1" name="Table1" displayName="Table1" ref="A1:H31" totalsRowShown="0" headerRowDxfId="1">
  <autoFilter ref="A1:H31"/>
  <tableColumns count="8">
    <tableColumn id="1" name="Dimming Technology" dataDxfId="0"/>
    <tableColumn id="2" name="Intensity (%)"/>
    <tableColumn id="3" name="Current (mA)"/>
    <tableColumn id="4" name="Power (W)"/>
    <tableColumn id="5" name="Lux (Lumen)"/>
    <tableColumn id="6" name="Harmonics - 3rd"/>
    <tableColumn id="7" name="Harmonics - 5th"/>
    <tableColumn id="8" name="Harmonics - 7th"/>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1"/>
  <sheetViews>
    <sheetView topLeftCell="A10" zoomScaleNormal="100" workbookViewId="0">
      <selection activeCell="K9" sqref="K9"/>
    </sheetView>
  </sheetViews>
  <sheetFormatPr defaultRowHeight="14.4" x14ac:dyDescent="0.3"/>
  <cols>
    <col min="1" max="1" width="25.109375" bestFit="1" customWidth="1"/>
    <col min="2" max="2" width="10.21875" customWidth="1"/>
    <col min="3" max="3" width="14.21875" customWidth="1"/>
    <col min="4" max="4" width="15.33203125" bestFit="1" customWidth="1"/>
    <col min="5" max="5" width="14.5546875" bestFit="1" customWidth="1"/>
    <col min="6" max="8" width="16.77734375" customWidth="1"/>
  </cols>
  <sheetData>
    <row r="1" spans="1:8" ht="19.8" customHeight="1" x14ac:dyDescent="0.3">
      <c r="A1" s="3" t="s">
        <v>0</v>
      </c>
      <c r="B1" s="3" t="s">
        <v>17</v>
      </c>
      <c r="C1" s="3" t="s">
        <v>6</v>
      </c>
      <c r="D1" s="3" t="s">
        <v>5</v>
      </c>
      <c r="E1" s="4" t="s">
        <v>4</v>
      </c>
      <c r="F1" s="5" t="s">
        <v>7</v>
      </c>
      <c r="G1" s="5" t="s">
        <v>8</v>
      </c>
      <c r="H1" s="5" t="s">
        <v>9</v>
      </c>
    </row>
    <row r="2" spans="1:8" ht="13.8" customHeight="1" x14ac:dyDescent="0.3">
      <c r="A2" s="6" t="s">
        <v>1</v>
      </c>
      <c r="B2" s="1">
        <v>10</v>
      </c>
      <c r="C2">
        <v>0</v>
      </c>
      <c r="D2">
        <v>0</v>
      </c>
      <c r="E2">
        <v>0</v>
      </c>
      <c r="F2">
        <v>0</v>
      </c>
      <c r="G2">
        <v>0</v>
      </c>
      <c r="H2">
        <v>0</v>
      </c>
    </row>
    <row r="3" spans="1:8" x14ac:dyDescent="0.3">
      <c r="A3" s="6" t="s">
        <v>1</v>
      </c>
      <c r="B3">
        <v>20</v>
      </c>
      <c r="C3">
        <v>16.899999999999999</v>
      </c>
      <c r="D3">
        <v>0.84</v>
      </c>
      <c r="E3">
        <v>25</v>
      </c>
      <c r="F3">
        <v>12.752000000000001</v>
      </c>
      <c r="G3">
        <v>1.5840000000000001</v>
      </c>
      <c r="H3">
        <v>3.2240000000000002</v>
      </c>
    </row>
    <row r="4" spans="1:8" x14ac:dyDescent="0.3">
      <c r="A4" s="6" t="s">
        <v>1</v>
      </c>
      <c r="B4">
        <v>30</v>
      </c>
      <c r="C4">
        <v>29.4</v>
      </c>
      <c r="D4">
        <v>1.35</v>
      </c>
      <c r="E4">
        <v>62</v>
      </c>
      <c r="F4">
        <v>12.784000000000001</v>
      </c>
      <c r="G4">
        <v>1.7410000000000001</v>
      </c>
      <c r="H4">
        <v>3.5150000000000001</v>
      </c>
    </row>
    <row r="5" spans="1:8" x14ac:dyDescent="0.3">
      <c r="A5" s="6" t="s">
        <v>1</v>
      </c>
      <c r="B5">
        <v>40</v>
      </c>
      <c r="C5">
        <v>68.8</v>
      </c>
      <c r="D5">
        <v>5.48</v>
      </c>
      <c r="E5">
        <v>100</v>
      </c>
      <c r="F5">
        <v>12.476000000000001</v>
      </c>
      <c r="G5">
        <v>1.6950000000000001</v>
      </c>
      <c r="H5">
        <v>3.2160000000000002</v>
      </c>
    </row>
    <row r="6" spans="1:8" x14ac:dyDescent="0.3">
      <c r="A6" s="6" t="s">
        <v>1</v>
      </c>
      <c r="B6" s="1">
        <v>50</v>
      </c>
      <c r="C6">
        <v>82.6</v>
      </c>
      <c r="D6">
        <v>7.56</v>
      </c>
      <c r="E6">
        <v>400</v>
      </c>
      <c r="F6">
        <v>12.821</v>
      </c>
      <c r="G6">
        <v>1.8480000000000001</v>
      </c>
      <c r="H6">
        <v>3.3690000000000002</v>
      </c>
    </row>
    <row r="7" spans="1:8" x14ac:dyDescent="0.3">
      <c r="A7" s="6" t="s">
        <v>1</v>
      </c>
      <c r="B7">
        <v>60</v>
      </c>
      <c r="C7">
        <v>122.2</v>
      </c>
      <c r="D7">
        <v>12.68</v>
      </c>
      <c r="E7">
        <v>500</v>
      </c>
      <c r="F7">
        <v>12.933</v>
      </c>
      <c r="G7">
        <v>1.7989999999999999</v>
      </c>
      <c r="H7">
        <v>3.3849999999999998</v>
      </c>
    </row>
    <row r="8" spans="1:8" x14ac:dyDescent="0.3">
      <c r="A8" s="6" t="s">
        <v>1</v>
      </c>
      <c r="B8" s="1">
        <v>70</v>
      </c>
      <c r="C8">
        <v>130</v>
      </c>
      <c r="D8">
        <v>14</v>
      </c>
      <c r="E8">
        <v>1100</v>
      </c>
      <c r="F8">
        <v>13.102</v>
      </c>
      <c r="G8">
        <v>1.369</v>
      </c>
      <c r="H8">
        <v>2.911</v>
      </c>
    </row>
    <row r="9" spans="1:8" x14ac:dyDescent="0.3">
      <c r="A9" s="6" t="s">
        <v>1</v>
      </c>
      <c r="B9">
        <v>80</v>
      </c>
      <c r="C9">
        <v>184.2</v>
      </c>
      <c r="D9">
        <v>21.013999999999999</v>
      </c>
      <c r="E9">
        <v>1600</v>
      </c>
      <c r="F9">
        <v>13.433999999999999</v>
      </c>
      <c r="G9">
        <v>1.097</v>
      </c>
      <c r="H9">
        <v>2.5649999999999999</v>
      </c>
    </row>
    <row r="10" spans="1:8" x14ac:dyDescent="0.3">
      <c r="A10" s="6" t="s">
        <v>1</v>
      </c>
      <c r="B10">
        <v>90</v>
      </c>
      <c r="C10">
        <v>210.2</v>
      </c>
      <c r="D10">
        <v>30.6</v>
      </c>
      <c r="E10">
        <v>2300</v>
      </c>
      <c r="F10">
        <v>13.053000000000001</v>
      </c>
      <c r="G10">
        <v>2.1539999999999999</v>
      </c>
      <c r="H10">
        <v>3.7839999999999998</v>
      </c>
    </row>
    <row r="11" spans="1:8" x14ac:dyDescent="0.3">
      <c r="A11" s="6" t="s">
        <v>1</v>
      </c>
      <c r="B11">
        <v>100</v>
      </c>
      <c r="C11">
        <v>135.84</v>
      </c>
      <c r="D11">
        <v>29.89</v>
      </c>
      <c r="E11">
        <v>2500</v>
      </c>
      <c r="F11">
        <v>12.747999999999999</v>
      </c>
      <c r="G11">
        <v>1.385</v>
      </c>
      <c r="H11">
        <v>3.161</v>
      </c>
    </row>
    <row r="12" spans="1:8" ht="16.8" customHeight="1" x14ac:dyDescent="0.3">
      <c r="A12" s="2" t="s">
        <v>2</v>
      </c>
      <c r="B12">
        <v>10</v>
      </c>
      <c r="C12">
        <v>66.900000000000006</v>
      </c>
      <c r="D12">
        <v>3.87</v>
      </c>
      <c r="E12">
        <v>700</v>
      </c>
      <c r="F12">
        <v>1.1459999999999999</v>
      </c>
      <c r="G12">
        <v>0.70299999999999996</v>
      </c>
      <c r="H12">
        <v>1.2470000000000001</v>
      </c>
    </row>
    <row r="13" spans="1:8" x14ac:dyDescent="0.3">
      <c r="A13" s="2" t="s">
        <v>2</v>
      </c>
      <c r="B13">
        <v>20</v>
      </c>
      <c r="C13">
        <v>72.849999999999994</v>
      </c>
      <c r="D13">
        <v>6.71</v>
      </c>
      <c r="E13">
        <v>1000</v>
      </c>
      <c r="F13">
        <v>0.97</v>
      </c>
      <c r="G13">
        <v>0.622</v>
      </c>
      <c r="H13">
        <v>1.347</v>
      </c>
    </row>
    <row r="14" spans="1:8" x14ac:dyDescent="0.3">
      <c r="A14" s="2" t="s">
        <v>2</v>
      </c>
      <c r="B14">
        <v>30</v>
      </c>
      <c r="C14">
        <v>79.73</v>
      </c>
      <c r="D14">
        <v>9.32</v>
      </c>
      <c r="E14">
        <v>1400</v>
      </c>
      <c r="F14">
        <v>1.139</v>
      </c>
      <c r="G14">
        <v>0.52400000000000002</v>
      </c>
      <c r="H14">
        <v>1.26</v>
      </c>
    </row>
    <row r="15" spans="1:8" x14ac:dyDescent="0.3">
      <c r="A15" s="2" t="s">
        <v>2</v>
      </c>
      <c r="B15">
        <v>40</v>
      </c>
      <c r="C15">
        <v>87.32</v>
      </c>
      <c r="D15">
        <v>12.21</v>
      </c>
      <c r="E15">
        <v>1800</v>
      </c>
      <c r="F15">
        <v>1.089</v>
      </c>
      <c r="G15">
        <v>0.54700000000000004</v>
      </c>
      <c r="H15">
        <v>1.23</v>
      </c>
    </row>
    <row r="16" spans="1:8" x14ac:dyDescent="0.3">
      <c r="A16" s="2" t="s">
        <v>2</v>
      </c>
      <c r="B16">
        <v>50</v>
      </c>
      <c r="C16">
        <v>95.42</v>
      </c>
      <c r="D16">
        <v>14.95</v>
      </c>
      <c r="E16">
        <v>2100</v>
      </c>
      <c r="F16">
        <v>1.044</v>
      </c>
      <c r="G16">
        <v>0.57699999999999996</v>
      </c>
      <c r="H16">
        <v>1.2110000000000001</v>
      </c>
    </row>
    <row r="17" spans="1:8" x14ac:dyDescent="0.3">
      <c r="A17" s="2" t="s">
        <v>2</v>
      </c>
      <c r="B17">
        <v>60</v>
      </c>
      <c r="C17">
        <v>105.68</v>
      </c>
      <c r="D17">
        <v>18.16</v>
      </c>
      <c r="E17">
        <v>2300</v>
      </c>
      <c r="F17">
        <v>1.101</v>
      </c>
      <c r="G17">
        <v>0.53900000000000003</v>
      </c>
      <c r="H17">
        <v>1.24</v>
      </c>
    </row>
    <row r="18" spans="1:8" x14ac:dyDescent="0.3">
      <c r="A18" s="2" t="s">
        <v>2</v>
      </c>
      <c r="B18">
        <v>70</v>
      </c>
      <c r="C18">
        <v>117.44</v>
      </c>
      <c r="D18">
        <v>21.59</v>
      </c>
      <c r="E18">
        <v>2500</v>
      </c>
      <c r="F18">
        <v>1.048</v>
      </c>
      <c r="G18">
        <v>0.53</v>
      </c>
      <c r="H18">
        <v>1.286</v>
      </c>
    </row>
    <row r="19" spans="1:8" x14ac:dyDescent="0.3">
      <c r="A19" s="2" t="s">
        <v>2</v>
      </c>
      <c r="B19">
        <v>80</v>
      </c>
      <c r="C19">
        <v>124.49</v>
      </c>
      <c r="D19">
        <v>23.65</v>
      </c>
      <c r="E19">
        <v>2700</v>
      </c>
      <c r="F19">
        <v>1.0860000000000001</v>
      </c>
      <c r="G19">
        <v>0.58099999999999996</v>
      </c>
      <c r="H19">
        <v>1.339</v>
      </c>
    </row>
    <row r="20" spans="1:8" x14ac:dyDescent="0.3">
      <c r="A20" s="2" t="s">
        <v>2</v>
      </c>
      <c r="B20">
        <v>90</v>
      </c>
      <c r="C20">
        <v>137.69999999999999</v>
      </c>
      <c r="D20">
        <v>27.27</v>
      </c>
      <c r="E20">
        <v>2900</v>
      </c>
      <c r="F20">
        <v>1.044</v>
      </c>
      <c r="G20">
        <v>0.45900000000000002</v>
      </c>
      <c r="H20">
        <v>1.3919999999999999</v>
      </c>
    </row>
    <row r="21" spans="1:8" x14ac:dyDescent="0.3">
      <c r="A21" s="2" t="s">
        <v>2</v>
      </c>
      <c r="B21">
        <v>100</v>
      </c>
      <c r="C21">
        <v>146.97999999999999</v>
      </c>
      <c r="D21">
        <v>29.54</v>
      </c>
      <c r="E21">
        <v>3200</v>
      </c>
      <c r="F21">
        <v>1.167</v>
      </c>
      <c r="G21">
        <v>0.621</v>
      </c>
      <c r="H21">
        <v>1.5129999999999999</v>
      </c>
    </row>
    <row r="22" spans="1:8" ht="21" customHeight="1" x14ac:dyDescent="0.3">
      <c r="A22" s="2" t="s">
        <v>3</v>
      </c>
      <c r="B22">
        <v>10</v>
      </c>
      <c r="C22">
        <v>146.25</v>
      </c>
      <c r="D22">
        <v>31.51</v>
      </c>
      <c r="E22">
        <v>200</v>
      </c>
      <c r="F22">
        <v>8.0980000000000008</v>
      </c>
      <c r="G22">
        <v>1.1859999999999999</v>
      </c>
      <c r="H22">
        <v>3.7029999999999998</v>
      </c>
    </row>
    <row r="23" spans="1:8" x14ac:dyDescent="0.3">
      <c r="A23" s="2" t="s">
        <v>3</v>
      </c>
      <c r="B23">
        <v>20</v>
      </c>
      <c r="C23">
        <v>146.25</v>
      </c>
      <c r="D23">
        <v>31.51</v>
      </c>
      <c r="E23">
        <v>400</v>
      </c>
      <c r="F23">
        <v>8.5730000000000004</v>
      </c>
      <c r="G23">
        <v>1.5840000000000001</v>
      </c>
      <c r="H23">
        <v>3.3620000000000001</v>
      </c>
    </row>
    <row r="24" spans="1:8" x14ac:dyDescent="0.3">
      <c r="A24" s="2" t="s">
        <v>3</v>
      </c>
      <c r="B24">
        <v>30</v>
      </c>
      <c r="C24">
        <v>146.25</v>
      </c>
      <c r="D24">
        <v>31.51</v>
      </c>
      <c r="E24">
        <v>500</v>
      </c>
      <c r="F24">
        <v>8.1679999999999993</v>
      </c>
      <c r="G24">
        <v>1.1539999999999999</v>
      </c>
      <c r="H24">
        <v>3.6619999999999999</v>
      </c>
    </row>
    <row r="25" spans="1:8" x14ac:dyDescent="0.3">
      <c r="A25" s="2" t="s">
        <v>3</v>
      </c>
      <c r="B25">
        <v>40</v>
      </c>
      <c r="C25">
        <v>146.25</v>
      </c>
      <c r="D25">
        <v>31.51</v>
      </c>
      <c r="E25">
        <v>800</v>
      </c>
      <c r="F25">
        <v>8.0370000000000008</v>
      </c>
      <c r="G25">
        <v>1.288</v>
      </c>
      <c r="H25">
        <v>3.6440000000000001</v>
      </c>
    </row>
    <row r="26" spans="1:8" x14ac:dyDescent="0.3">
      <c r="A26" s="2" t="s">
        <v>3</v>
      </c>
      <c r="B26">
        <v>50</v>
      </c>
      <c r="C26">
        <v>146.25</v>
      </c>
      <c r="D26">
        <v>31.51</v>
      </c>
      <c r="E26">
        <v>1000</v>
      </c>
      <c r="F26">
        <v>8.1280000000000001</v>
      </c>
      <c r="G26">
        <v>1.2030000000000001</v>
      </c>
      <c r="H26">
        <v>3.585</v>
      </c>
    </row>
    <row r="27" spans="1:8" x14ac:dyDescent="0.3">
      <c r="A27" s="2" t="s">
        <v>3</v>
      </c>
      <c r="B27">
        <v>60</v>
      </c>
      <c r="C27">
        <v>146.25</v>
      </c>
      <c r="D27">
        <v>31.51</v>
      </c>
      <c r="E27">
        <v>1200</v>
      </c>
      <c r="F27">
        <v>7.9930000000000003</v>
      </c>
      <c r="G27">
        <v>1.1040000000000001</v>
      </c>
      <c r="H27">
        <v>3.7749999999999999</v>
      </c>
    </row>
    <row r="28" spans="1:8" x14ac:dyDescent="0.3">
      <c r="A28" s="2" t="s">
        <v>3</v>
      </c>
      <c r="B28">
        <v>70</v>
      </c>
      <c r="C28">
        <v>146.25</v>
      </c>
      <c r="D28">
        <v>31.51</v>
      </c>
      <c r="E28">
        <v>1400</v>
      </c>
      <c r="F28">
        <v>8.0129999999999999</v>
      </c>
      <c r="G28">
        <v>1.2490000000000001</v>
      </c>
      <c r="H28">
        <v>3.7040000000000002</v>
      </c>
    </row>
    <row r="29" spans="1:8" x14ac:dyDescent="0.3">
      <c r="A29" s="2" t="s">
        <v>3</v>
      </c>
      <c r="B29">
        <v>80</v>
      </c>
      <c r="C29">
        <v>146.25</v>
      </c>
      <c r="D29">
        <v>31.51</v>
      </c>
      <c r="E29">
        <v>1600</v>
      </c>
      <c r="F29">
        <v>8.1199999999999992</v>
      </c>
      <c r="G29">
        <v>1.1519999999999999</v>
      </c>
      <c r="H29">
        <v>3.7149999999999999</v>
      </c>
    </row>
    <row r="30" spans="1:8" x14ac:dyDescent="0.3">
      <c r="A30" s="2" t="s">
        <v>3</v>
      </c>
      <c r="B30">
        <v>90</v>
      </c>
      <c r="C30">
        <v>146.25</v>
      </c>
      <c r="D30">
        <v>31.51</v>
      </c>
      <c r="E30">
        <v>1800</v>
      </c>
      <c r="F30">
        <v>7.8040000000000003</v>
      </c>
      <c r="G30">
        <v>1.38</v>
      </c>
      <c r="H30">
        <v>3.423</v>
      </c>
    </row>
    <row r="31" spans="1:8" x14ac:dyDescent="0.3">
      <c r="A31" s="2" t="s">
        <v>3</v>
      </c>
      <c r="B31">
        <v>100</v>
      </c>
      <c r="C31">
        <v>146.25</v>
      </c>
      <c r="D31">
        <v>31.51</v>
      </c>
      <c r="E31">
        <v>1900</v>
      </c>
      <c r="F31">
        <v>8.2040000000000006</v>
      </c>
      <c r="G31">
        <v>1.3879999999999999</v>
      </c>
      <c r="H31">
        <v>3.456</v>
      </c>
    </row>
  </sheetData>
  <phoneticPr fontId="3"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F108"/>
  <sheetViews>
    <sheetView topLeftCell="A106" zoomScaleNormal="100" workbookViewId="0">
      <selection activeCell="H138" sqref="H138"/>
    </sheetView>
  </sheetViews>
  <sheetFormatPr defaultRowHeight="14.4" x14ac:dyDescent="0.3"/>
  <cols>
    <col min="2" max="2" width="20.88671875" customWidth="1"/>
    <col min="3" max="3" width="15.77734375" customWidth="1"/>
    <col min="4" max="4" width="12.88671875" customWidth="1"/>
    <col min="5" max="5" width="17.5546875" customWidth="1"/>
    <col min="6" max="6" width="10.77734375" customWidth="1"/>
    <col min="7" max="8" width="22.21875" bestFit="1" customWidth="1"/>
    <col min="9" max="10" width="27.44140625" bestFit="1" customWidth="1"/>
    <col min="11" max="11" width="25.44140625" bestFit="1" customWidth="1"/>
    <col min="12" max="14" width="37.33203125" bestFit="1" customWidth="1"/>
  </cols>
  <sheetData>
    <row r="3" spans="2:6" x14ac:dyDescent="0.3">
      <c r="B3" s="7" t="s">
        <v>12</v>
      </c>
      <c r="C3" s="7" t="s">
        <v>19</v>
      </c>
    </row>
    <row r="4" spans="2:6" x14ac:dyDescent="0.3">
      <c r="B4" s="7" t="s">
        <v>10</v>
      </c>
      <c r="C4" t="s">
        <v>3</v>
      </c>
      <c r="D4" t="s">
        <v>2</v>
      </c>
      <c r="E4" t="s">
        <v>1</v>
      </c>
      <c r="F4" t="s">
        <v>11</v>
      </c>
    </row>
    <row r="5" spans="2:6" x14ac:dyDescent="0.3">
      <c r="B5" s="8">
        <v>10</v>
      </c>
      <c r="C5" s="10">
        <v>31.51</v>
      </c>
      <c r="D5" s="10">
        <v>3.87</v>
      </c>
      <c r="E5" s="10">
        <v>0</v>
      </c>
      <c r="F5" s="10">
        <v>35.380000000000003</v>
      </c>
    </row>
    <row r="6" spans="2:6" x14ac:dyDescent="0.3">
      <c r="B6" s="8">
        <v>20</v>
      </c>
      <c r="C6" s="10">
        <v>31.51</v>
      </c>
      <c r="D6" s="10">
        <v>6.71</v>
      </c>
      <c r="E6" s="10">
        <v>0.84</v>
      </c>
      <c r="F6" s="10">
        <v>39.06</v>
      </c>
    </row>
    <row r="7" spans="2:6" x14ac:dyDescent="0.3">
      <c r="B7" s="8">
        <v>30</v>
      </c>
      <c r="C7" s="10">
        <v>31.51</v>
      </c>
      <c r="D7" s="10">
        <v>9.32</v>
      </c>
      <c r="E7" s="10">
        <v>1.35</v>
      </c>
      <c r="F7" s="10">
        <v>42.18</v>
      </c>
    </row>
    <row r="8" spans="2:6" x14ac:dyDescent="0.3">
      <c r="B8" s="8">
        <v>40</v>
      </c>
      <c r="C8" s="10">
        <v>31.51</v>
      </c>
      <c r="D8" s="10">
        <v>12.21</v>
      </c>
      <c r="E8" s="10">
        <v>5.48</v>
      </c>
      <c r="F8" s="10">
        <v>49.2</v>
      </c>
    </row>
    <row r="9" spans="2:6" x14ac:dyDescent="0.3">
      <c r="B9" s="8">
        <v>50</v>
      </c>
      <c r="C9" s="10">
        <v>31.51</v>
      </c>
      <c r="D9" s="10">
        <v>14.95</v>
      </c>
      <c r="E9" s="10">
        <v>7.56</v>
      </c>
      <c r="F9" s="10">
        <v>54.02</v>
      </c>
    </row>
    <row r="10" spans="2:6" x14ac:dyDescent="0.3">
      <c r="B10" s="8">
        <v>60</v>
      </c>
      <c r="C10" s="10">
        <v>31.51</v>
      </c>
      <c r="D10" s="10">
        <v>18.16</v>
      </c>
      <c r="E10" s="10">
        <v>12.68</v>
      </c>
      <c r="F10" s="10">
        <v>62.35</v>
      </c>
    </row>
    <row r="11" spans="2:6" x14ac:dyDescent="0.3">
      <c r="B11" s="8">
        <v>70</v>
      </c>
      <c r="C11" s="10">
        <v>31.51</v>
      </c>
      <c r="D11" s="10">
        <v>21.59</v>
      </c>
      <c r="E11" s="10">
        <v>14</v>
      </c>
      <c r="F11" s="10">
        <v>67.099999999999994</v>
      </c>
    </row>
    <row r="12" spans="2:6" x14ac:dyDescent="0.3">
      <c r="B12" s="8">
        <v>80</v>
      </c>
      <c r="C12" s="10">
        <v>31.51</v>
      </c>
      <c r="D12" s="10">
        <v>23.65</v>
      </c>
      <c r="E12" s="10">
        <v>21.013999999999999</v>
      </c>
      <c r="F12" s="10">
        <v>76.173999999999992</v>
      </c>
    </row>
    <row r="13" spans="2:6" x14ac:dyDescent="0.3">
      <c r="B13" s="8">
        <v>90</v>
      </c>
      <c r="C13" s="10">
        <v>31.51</v>
      </c>
      <c r="D13" s="10">
        <v>27.27</v>
      </c>
      <c r="E13" s="10">
        <v>30.6</v>
      </c>
      <c r="F13" s="10">
        <v>89.38</v>
      </c>
    </row>
    <row r="14" spans="2:6" x14ac:dyDescent="0.3">
      <c r="B14" s="8">
        <v>100</v>
      </c>
      <c r="C14" s="10">
        <v>31.51</v>
      </c>
      <c r="D14" s="10">
        <v>29.54</v>
      </c>
      <c r="E14" s="10">
        <v>29.89</v>
      </c>
      <c r="F14" s="10">
        <v>90.94</v>
      </c>
    </row>
    <row r="15" spans="2:6" x14ac:dyDescent="0.3">
      <c r="B15" s="8" t="s">
        <v>11</v>
      </c>
      <c r="C15" s="10">
        <v>315.09999999999997</v>
      </c>
      <c r="D15" s="10">
        <v>167.27</v>
      </c>
      <c r="E15" s="10">
        <v>123.414</v>
      </c>
      <c r="F15" s="10">
        <v>605.78399999999988</v>
      </c>
    </row>
    <row r="24" spans="2:6" x14ac:dyDescent="0.3">
      <c r="B24" s="7" t="s">
        <v>13</v>
      </c>
      <c r="C24" s="7" t="s">
        <v>19</v>
      </c>
    </row>
    <row r="25" spans="2:6" x14ac:dyDescent="0.3">
      <c r="B25" s="7" t="s">
        <v>10</v>
      </c>
      <c r="C25" t="s">
        <v>3</v>
      </c>
      <c r="D25" t="s">
        <v>2</v>
      </c>
      <c r="E25" t="s">
        <v>1</v>
      </c>
      <c r="F25" t="s">
        <v>11</v>
      </c>
    </row>
    <row r="26" spans="2:6" x14ac:dyDescent="0.3">
      <c r="B26" s="8">
        <v>10</v>
      </c>
      <c r="C26" s="10">
        <v>200</v>
      </c>
      <c r="D26" s="10">
        <v>700</v>
      </c>
      <c r="E26" s="10">
        <v>0</v>
      </c>
      <c r="F26" s="10">
        <v>300</v>
      </c>
    </row>
    <row r="27" spans="2:6" x14ac:dyDescent="0.3">
      <c r="B27" s="8">
        <v>20</v>
      </c>
      <c r="C27" s="10">
        <v>400</v>
      </c>
      <c r="D27" s="10">
        <v>1000</v>
      </c>
      <c r="E27" s="10">
        <v>25</v>
      </c>
      <c r="F27" s="10">
        <v>475</v>
      </c>
    </row>
    <row r="28" spans="2:6" x14ac:dyDescent="0.3">
      <c r="B28" s="8">
        <v>30</v>
      </c>
      <c r="C28" s="10">
        <v>500</v>
      </c>
      <c r="D28" s="10">
        <v>1400</v>
      </c>
      <c r="E28" s="10">
        <v>62</v>
      </c>
      <c r="F28" s="10">
        <v>654</v>
      </c>
    </row>
    <row r="29" spans="2:6" x14ac:dyDescent="0.3">
      <c r="B29" s="8">
        <v>40</v>
      </c>
      <c r="C29" s="10">
        <v>800</v>
      </c>
      <c r="D29" s="10">
        <v>1800</v>
      </c>
      <c r="E29" s="10">
        <v>100</v>
      </c>
      <c r="F29" s="10">
        <v>900</v>
      </c>
    </row>
    <row r="30" spans="2:6" x14ac:dyDescent="0.3">
      <c r="B30" s="8">
        <v>50</v>
      </c>
      <c r="C30" s="10">
        <v>1000</v>
      </c>
      <c r="D30" s="10">
        <v>2100</v>
      </c>
      <c r="E30" s="10">
        <v>400</v>
      </c>
      <c r="F30" s="10">
        <v>1166.6666666666667</v>
      </c>
    </row>
    <row r="31" spans="2:6" x14ac:dyDescent="0.3">
      <c r="B31" s="8">
        <v>60</v>
      </c>
      <c r="C31" s="10">
        <v>1200</v>
      </c>
      <c r="D31" s="10">
        <v>2300</v>
      </c>
      <c r="E31" s="10">
        <v>500</v>
      </c>
      <c r="F31" s="10">
        <v>1333.3333333333333</v>
      </c>
    </row>
    <row r="32" spans="2:6" x14ac:dyDescent="0.3">
      <c r="B32" s="8">
        <v>70</v>
      </c>
      <c r="C32" s="10">
        <v>1400</v>
      </c>
      <c r="D32" s="10">
        <v>2500</v>
      </c>
      <c r="E32" s="10">
        <v>1100</v>
      </c>
      <c r="F32" s="10">
        <v>1666.6666666666667</v>
      </c>
    </row>
    <row r="33" spans="2:6" x14ac:dyDescent="0.3">
      <c r="B33" s="8">
        <v>80</v>
      </c>
      <c r="C33" s="10">
        <v>1600</v>
      </c>
      <c r="D33" s="10">
        <v>2700</v>
      </c>
      <c r="E33" s="10">
        <v>1600</v>
      </c>
      <c r="F33" s="10">
        <v>1966.6666666666667</v>
      </c>
    </row>
    <row r="34" spans="2:6" x14ac:dyDescent="0.3">
      <c r="B34" s="8">
        <v>90</v>
      </c>
      <c r="C34" s="10">
        <v>1800</v>
      </c>
      <c r="D34" s="10">
        <v>2900</v>
      </c>
      <c r="E34" s="10">
        <v>2300</v>
      </c>
      <c r="F34" s="10">
        <v>2333.3333333333335</v>
      </c>
    </row>
    <row r="35" spans="2:6" x14ac:dyDescent="0.3">
      <c r="B35" s="8">
        <v>100</v>
      </c>
      <c r="C35" s="10">
        <v>1900</v>
      </c>
      <c r="D35" s="10">
        <v>3200</v>
      </c>
      <c r="E35" s="10">
        <v>2500</v>
      </c>
      <c r="F35" s="10">
        <v>2533.3333333333335</v>
      </c>
    </row>
    <row r="36" spans="2:6" x14ac:dyDescent="0.3">
      <c r="B36" s="8" t="s">
        <v>11</v>
      </c>
      <c r="C36" s="10">
        <v>1080</v>
      </c>
      <c r="D36" s="10">
        <v>2060</v>
      </c>
      <c r="E36" s="10">
        <v>858.7</v>
      </c>
      <c r="F36" s="10">
        <v>1332.9</v>
      </c>
    </row>
    <row r="44" spans="2:6" x14ac:dyDescent="0.3">
      <c r="B44" s="7" t="s">
        <v>14</v>
      </c>
      <c r="C44" s="7" t="s">
        <v>19</v>
      </c>
    </row>
    <row r="45" spans="2:6" x14ac:dyDescent="0.3">
      <c r="B45" s="7" t="s">
        <v>10</v>
      </c>
      <c r="C45" t="s">
        <v>3</v>
      </c>
      <c r="D45" t="s">
        <v>2</v>
      </c>
      <c r="E45" t="s">
        <v>1</v>
      </c>
      <c r="F45" t="s">
        <v>11</v>
      </c>
    </row>
    <row r="46" spans="2:6" x14ac:dyDescent="0.3">
      <c r="B46" s="8">
        <v>10</v>
      </c>
      <c r="C46" s="10">
        <v>8.0980000000000008</v>
      </c>
      <c r="D46" s="10">
        <v>1.1459999999999999</v>
      </c>
      <c r="E46" s="10">
        <v>0</v>
      </c>
      <c r="F46" s="10">
        <v>9.2439999999999998</v>
      </c>
    </row>
    <row r="47" spans="2:6" x14ac:dyDescent="0.3">
      <c r="B47" s="8">
        <v>20</v>
      </c>
      <c r="C47" s="10">
        <v>8.5730000000000004</v>
      </c>
      <c r="D47" s="10">
        <v>0.97</v>
      </c>
      <c r="E47" s="10">
        <v>12.752000000000001</v>
      </c>
      <c r="F47" s="10">
        <v>22.295000000000002</v>
      </c>
    </row>
    <row r="48" spans="2:6" x14ac:dyDescent="0.3">
      <c r="B48" s="8">
        <v>30</v>
      </c>
      <c r="C48" s="10">
        <v>8.1679999999999993</v>
      </c>
      <c r="D48" s="10">
        <v>1.139</v>
      </c>
      <c r="E48" s="10">
        <v>12.784000000000001</v>
      </c>
      <c r="F48" s="10">
        <v>22.091000000000001</v>
      </c>
    </row>
    <row r="49" spans="2:6" x14ac:dyDescent="0.3">
      <c r="B49" s="8">
        <v>40</v>
      </c>
      <c r="C49" s="10">
        <v>8.0370000000000008</v>
      </c>
      <c r="D49" s="10">
        <v>1.089</v>
      </c>
      <c r="E49" s="10">
        <v>12.476000000000001</v>
      </c>
      <c r="F49" s="10">
        <v>21.602000000000004</v>
      </c>
    </row>
    <row r="50" spans="2:6" x14ac:dyDescent="0.3">
      <c r="B50" s="8">
        <v>50</v>
      </c>
      <c r="C50" s="10">
        <v>8.1280000000000001</v>
      </c>
      <c r="D50" s="10">
        <v>1.044</v>
      </c>
      <c r="E50" s="10">
        <v>12.821</v>
      </c>
      <c r="F50" s="10">
        <v>21.993000000000002</v>
      </c>
    </row>
    <row r="51" spans="2:6" x14ac:dyDescent="0.3">
      <c r="B51" s="8">
        <v>60</v>
      </c>
      <c r="C51" s="10">
        <v>7.9930000000000003</v>
      </c>
      <c r="D51" s="10">
        <v>1.101</v>
      </c>
      <c r="E51" s="10">
        <v>12.933</v>
      </c>
      <c r="F51" s="10">
        <v>22.027000000000001</v>
      </c>
    </row>
    <row r="52" spans="2:6" x14ac:dyDescent="0.3">
      <c r="B52" s="8">
        <v>70</v>
      </c>
      <c r="C52" s="10">
        <v>8.0129999999999999</v>
      </c>
      <c r="D52" s="10">
        <v>1.048</v>
      </c>
      <c r="E52" s="10">
        <v>13.102</v>
      </c>
      <c r="F52" s="10">
        <v>22.163</v>
      </c>
    </row>
    <row r="53" spans="2:6" x14ac:dyDescent="0.3">
      <c r="B53" s="8">
        <v>80</v>
      </c>
      <c r="C53" s="10">
        <v>8.1199999999999992</v>
      </c>
      <c r="D53" s="10">
        <v>1.0860000000000001</v>
      </c>
      <c r="E53" s="10">
        <v>13.433999999999999</v>
      </c>
      <c r="F53" s="10">
        <v>22.64</v>
      </c>
    </row>
    <row r="54" spans="2:6" x14ac:dyDescent="0.3">
      <c r="B54" s="8">
        <v>90</v>
      </c>
      <c r="C54" s="10">
        <v>7.8040000000000003</v>
      </c>
      <c r="D54" s="10">
        <v>1.044</v>
      </c>
      <c r="E54" s="10">
        <v>13.053000000000001</v>
      </c>
      <c r="F54" s="10">
        <v>21.901000000000003</v>
      </c>
    </row>
    <row r="55" spans="2:6" x14ac:dyDescent="0.3">
      <c r="B55" s="8">
        <v>100</v>
      </c>
      <c r="C55" s="10">
        <v>8.2040000000000006</v>
      </c>
      <c r="D55" s="10">
        <v>1.167</v>
      </c>
      <c r="E55" s="10">
        <v>12.747999999999999</v>
      </c>
      <c r="F55" s="10">
        <v>22.119</v>
      </c>
    </row>
    <row r="56" spans="2:6" x14ac:dyDescent="0.3">
      <c r="B56" s="8" t="s">
        <v>11</v>
      </c>
      <c r="C56" s="10">
        <v>81.138000000000005</v>
      </c>
      <c r="D56" s="10">
        <v>10.834</v>
      </c>
      <c r="E56" s="10">
        <v>116.10299999999999</v>
      </c>
      <c r="F56" s="10">
        <v>208.07500000000002</v>
      </c>
    </row>
    <row r="64" spans="2:6" x14ac:dyDescent="0.3">
      <c r="B64" s="7" t="s">
        <v>15</v>
      </c>
      <c r="C64" s="7" t="s">
        <v>19</v>
      </c>
    </row>
    <row r="65" spans="2:6" x14ac:dyDescent="0.3">
      <c r="B65" s="7" t="s">
        <v>10</v>
      </c>
      <c r="C65" t="s">
        <v>3</v>
      </c>
      <c r="D65" t="s">
        <v>2</v>
      </c>
      <c r="E65" t="s">
        <v>1</v>
      </c>
      <c r="F65" t="s">
        <v>11</v>
      </c>
    </row>
    <row r="66" spans="2:6" x14ac:dyDescent="0.3">
      <c r="B66" s="8">
        <v>10</v>
      </c>
      <c r="C66" s="10">
        <v>1.1859999999999999</v>
      </c>
      <c r="D66" s="10">
        <v>0.70299999999999996</v>
      </c>
      <c r="E66" s="10">
        <v>0</v>
      </c>
      <c r="F66" s="10">
        <v>1.8889999999999998</v>
      </c>
    </row>
    <row r="67" spans="2:6" x14ac:dyDescent="0.3">
      <c r="B67" s="8">
        <v>20</v>
      </c>
      <c r="C67" s="10">
        <v>1.5840000000000001</v>
      </c>
      <c r="D67" s="10">
        <v>0.622</v>
      </c>
      <c r="E67" s="10">
        <v>1.5840000000000001</v>
      </c>
      <c r="F67" s="10">
        <v>3.79</v>
      </c>
    </row>
    <row r="68" spans="2:6" x14ac:dyDescent="0.3">
      <c r="B68" s="8">
        <v>30</v>
      </c>
      <c r="C68" s="10">
        <v>1.1539999999999999</v>
      </c>
      <c r="D68" s="10">
        <v>0.52400000000000002</v>
      </c>
      <c r="E68" s="10">
        <v>1.7410000000000001</v>
      </c>
      <c r="F68" s="10">
        <v>3.419</v>
      </c>
    </row>
    <row r="69" spans="2:6" x14ac:dyDescent="0.3">
      <c r="B69" s="8">
        <v>40</v>
      </c>
      <c r="C69" s="10">
        <v>1.288</v>
      </c>
      <c r="D69" s="10">
        <v>0.54700000000000004</v>
      </c>
      <c r="E69" s="10">
        <v>1.6950000000000001</v>
      </c>
      <c r="F69" s="10">
        <v>3.5300000000000002</v>
      </c>
    </row>
    <row r="70" spans="2:6" x14ac:dyDescent="0.3">
      <c r="B70" s="8">
        <v>50</v>
      </c>
      <c r="C70" s="10">
        <v>1.2030000000000001</v>
      </c>
      <c r="D70" s="10">
        <v>0.57699999999999996</v>
      </c>
      <c r="E70" s="10">
        <v>1.8480000000000001</v>
      </c>
      <c r="F70" s="10">
        <v>3.6280000000000001</v>
      </c>
    </row>
    <row r="71" spans="2:6" x14ac:dyDescent="0.3">
      <c r="B71" s="8">
        <v>60</v>
      </c>
      <c r="C71" s="10">
        <v>1.1040000000000001</v>
      </c>
      <c r="D71" s="10">
        <v>0.53900000000000003</v>
      </c>
      <c r="E71" s="10">
        <v>1.7989999999999999</v>
      </c>
      <c r="F71" s="10">
        <v>3.4420000000000002</v>
      </c>
    </row>
    <row r="72" spans="2:6" x14ac:dyDescent="0.3">
      <c r="B72" s="8">
        <v>70</v>
      </c>
      <c r="C72" s="10">
        <v>1.2490000000000001</v>
      </c>
      <c r="D72" s="10">
        <v>0.53</v>
      </c>
      <c r="E72" s="10">
        <v>1.369</v>
      </c>
      <c r="F72" s="10">
        <v>3.1480000000000001</v>
      </c>
    </row>
    <row r="73" spans="2:6" x14ac:dyDescent="0.3">
      <c r="B73" s="8">
        <v>80</v>
      </c>
      <c r="C73" s="10">
        <v>1.1519999999999999</v>
      </c>
      <c r="D73" s="10">
        <v>0.58099999999999996</v>
      </c>
      <c r="E73" s="10">
        <v>1.097</v>
      </c>
      <c r="F73" s="10">
        <v>2.83</v>
      </c>
    </row>
    <row r="74" spans="2:6" x14ac:dyDescent="0.3">
      <c r="B74" s="8">
        <v>90</v>
      </c>
      <c r="C74" s="10">
        <v>1.38</v>
      </c>
      <c r="D74" s="10">
        <v>0.45900000000000002</v>
      </c>
      <c r="E74" s="10">
        <v>2.1539999999999999</v>
      </c>
      <c r="F74" s="10">
        <v>3.9929999999999999</v>
      </c>
    </row>
    <row r="75" spans="2:6" x14ac:dyDescent="0.3">
      <c r="B75" s="8">
        <v>100</v>
      </c>
      <c r="C75" s="10">
        <v>1.3879999999999999</v>
      </c>
      <c r="D75" s="10">
        <v>0.621</v>
      </c>
      <c r="E75" s="10">
        <v>1.385</v>
      </c>
      <c r="F75" s="10">
        <v>3.3940000000000001</v>
      </c>
    </row>
    <row r="76" spans="2:6" x14ac:dyDescent="0.3">
      <c r="B76" s="8" t="s">
        <v>11</v>
      </c>
      <c r="C76" s="10">
        <v>12.688000000000001</v>
      </c>
      <c r="D76" s="10">
        <v>5.7029999999999994</v>
      </c>
      <c r="E76" s="10">
        <v>14.671999999999999</v>
      </c>
      <c r="F76" s="10">
        <v>33.063000000000002</v>
      </c>
    </row>
    <row r="81" spans="2:6" x14ac:dyDescent="0.3">
      <c r="B81" s="7" t="s">
        <v>16</v>
      </c>
      <c r="C81" s="7" t="s">
        <v>19</v>
      </c>
    </row>
    <row r="82" spans="2:6" x14ac:dyDescent="0.3">
      <c r="B82" s="7" t="s">
        <v>10</v>
      </c>
      <c r="C82" t="s">
        <v>3</v>
      </c>
      <c r="D82" t="s">
        <v>2</v>
      </c>
      <c r="E82" t="s">
        <v>1</v>
      </c>
      <c r="F82" t="s">
        <v>11</v>
      </c>
    </row>
    <row r="83" spans="2:6" x14ac:dyDescent="0.3">
      <c r="B83" s="8">
        <v>10</v>
      </c>
      <c r="C83" s="10">
        <v>3.7029999999999998</v>
      </c>
      <c r="D83" s="10">
        <v>1.2470000000000001</v>
      </c>
      <c r="E83" s="10">
        <v>0</v>
      </c>
      <c r="F83" s="10">
        <v>4.95</v>
      </c>
    </row>
    <row r="84" spans="2:6" x14ac:dyDescent="0.3">
      <c r="B84" s="8">
        <v>20</v>
      </c>
      <c r="C84" s="10">
        <v>3.3620000000000001</v>
      </c>
      <c r="D84" s="10">
        <v>1.347</v>
      </c>
      <c r="E84" s="10">
        <v>3.2240000000000002</v>
      </c>
      <c r="F84" s="10">
        <v>7.9329999999999998</v>
      </c>
    </row>
    <row r="85" spans="2:6" x14ac:dyDescent="0.3">
      <c r="B85" s="8">
        <v>30</v>
      </c>
      <c r="C85" s="10">
        <v>3.6619999999999999</v>
      </c>
      <c r="D85" s="10">
        <v>1.26</v>
      </c>
      <c r="E85" s="10">
        <v>3.5150000000000001</v>
      </c>
      <c r="F85" s="10">
        <v>8.4369999999999994</v>
      </c>
    </row>
    <row r="86" spans="2:6" x14ac:dyDescent="0.3">
      <c r="B86" s="8">
        <v>40</v>
      </c>
      <c r="C86" s="10">
        <v>3.6440000000000001</v>
      </c>
      <c r="D86" s="10">
        <v>1.23</v>
      </c>
      <c r="E86" s="10">
        <v>3.2160000000000002</v>
      </c>
      <c r="F86" s="10">
        <v>8.09</v>
      </c>
    </row>
    <row r="87" spans="2:6" x14ac:dyDescent="0.3">
      <c r="B87" s="8">
        <v>50</v>
      </c>
      <c r="C87" s="10">
        <v>3.585</v>
      </c>
      <c r="D87" s="10">
        <v>1.2110000000000001</v>
      </c>
      <c r="E87" s="10">
        <v>3.3690000000000002</v>
      </c>
      <c r="F87" s="10">
        <v>8.1650000000000009</v>
      </c>
    </row>
    <row r="88" spans="2:6" x14ac:dyDescent="0.3">
      <c r="B88" s="8">
        <v>60</v>
      </c>
      <c r="C88" s="10">
        <v>3.7749999999999999</v>
      </c>
      <c r="D88" s="10">
        <v>1.24</v>
      </c>
      <c r="E88" s="10">
        <v>3.3849999999999998</v>
      </c>
      <c r="F88" s="10">
        <v>8.3999999999999986</v>
      </c>
    </row>
    <row r="89" spans="2:6" x14ac:dyDescent="0.3">
      <c r="B89" s="8">
        <v>70</v>
      </c>
      <c r="C89" s="10">
        <v>3.7040000000000002</v>
      </c>
      <c r="D89" s="10">
        <v>1.286</v>
      </c>
      <c r="E89" s="10">
        <v>2.911</v>
      </c>
      <c r="F89" s="10">
        <v>7.9009999999999998</v>
      </c>
    </row>
    <row r="90" spans="2:6" x14ac:dyDescent="0.3">
      <c r="B90" s="8">
        <v>80</v>
      </c>
      <c r="C90" s="10">
        <v>3.7149999999999999</v>
      </c>
      <c r="D90" s="10">
        <v>1.339</v>
      </c>
      <c r="E90" s="10">
        <v>2.5649999999999999</v>
      </c>
      <c r="F90" s="10">
        <v>7.6189999999999998</v>
      </c>
    </row>
    <row r="91" spans="2:6" x14ac:dyDescent="0.3">
      <c r="B91" s="8">
        <v>90</v>
      </c>
      <c r="C91" s="10">
        <v>3.423</v>
      </c>
      <c r="D91" s="10">
        <v>1.3919999999999999</v>
      </c>
      <c r="E91" s="10">
        <v>3.7839999999999998</v>
      </c>
      <c r="F91" s="10">
        <v>8.5990000000000002</v>
      </c>
    </row>
    <row r="92" spans="2:6" x14ac:dyDescent="0.3">
      <c r="B92" s="8">
        <v>100</v>
      </c>
      <c r="C92" s="10">
        <v>3.456</v>
      </c>
      <c r="D92" s="10">
        <v>1.5129999999999999</v>
      </c>
      <c r="E92" s="10">
        <v>3.161</v>
      </c>
      <c r="F92" s="10">
        <v>8.129999999999999</v>
      </c>
    </row>
    <row r="93" spans="2:6" x14ac:dyDescent="0.3">
      <c r="B93" s="8" t="s">
        <v>11</v>
      </c>
      <c r="C93" s="10">
        <v>36.029000000000003</v>
      </c>
      <c r="D93" s="10">
        <v>13.065</v>
      </c>
      <c r="E93" s="10">
        <v>29.130000000000006</v>
      </c>
      <c r="F93" s="10">
        <v>78.224000000000004</v>
      </c>
    </row>
    <row r="96" spans="2:6" x14ac:dyDescent="0.3">
      <c r="B96" s="7" t="s">
        <v>18</v>
      </c>
      <c r="C96" s="7" t="s">
        <v>19</v>
      </c>
    </row>
    <row r="97" spans="2:6" x14ac:dyDescent="0.3">
      <c r="B97" s="7" t="s">
        <v>10</v>
      </c>
      <c r="C97" t="s">
        <v>3</v>
      </c>
      <c r="D97" t="s">
        <v>2</v>
      </c>
      <c r="E97" t="s">
        <v>1</v>
      </c>
      <c r="F97" t="s">
        <v>11</v>
      </c>
    </row>
    <row r="98" spans="2:6" x14ac:dyDescent="0.3">
      <c r="B98" s="8">
        <v>10</v>
      </c>
      <c r="C98" s="10">
        <v>146.25</v>
      </c>
      <c r="D98" s="10">
        <v>66.900000000000006</v>
      </c>
      <c r="E98" s="10">
        <v>0</v>
      </c>
      <c r="F98" s="10">
        <v>213.15</v>
      </c>
    </row>
    <row r="99" spans="2:6" x14ac:dyDescent="0.3">
      <c r="B99" s="8">
        <v>20</v>
      </c>
      <c r="C99" s="10">
        <v>146.25</v>
      </c>
      <c r="D99" s="10">
        <v>72.849999999999994</v>
      </c>
      <c r="E99" s="10">
        <v>16.899999999999999</v>
      </c>
      <c r="F99" s="10">
        <v>236</v>
      </c>
    </row>
    <row r="100" spans="2:6" x14ac:dyDescent="0.3">
      <c r="B100" s="8">
        <v>30</v>
      </c>
      <c r="C100" s="10">
        <v>146.25</v>
      </c>
      <c r="D100" s="10">
        <v>79.73</v>
      </c>
      <c r="E100" s="10">
        <v>29.4</v>
      </c>
      <c r="F100" s="10">
        <v>255.38000000000002</v>
      </c>
    </row>
    <row r="101" spans="2:6" x14ac:dyDescent="0.3">
      <c r="B101" s="8">
        <v>40</v>
      </c>
      <c r="C101" s="10">
        <v>146.25</v>
      </c>
      <c r="D101" s="10">
        <v>87.32</v>
      </c>
      <c r="E101" s="10">
        <v>68.8</v>
      </c>
      <c r="F101" s="10">
        <v>302.37</v>
      </c>
    </row>
    <row r="102" spans="2:6" x14ac:dyDescent="0.3">
      <c r="B102" s="8">
        <v>50</v>
      </c>
      <c r="C102" s="10">
        <v>146.25</v>
      </c>
      <c r="D102" s="10">
        <v>95.42</v>
      </c>
      <c r="E102" s="10">
        <v>82.6</v>
      </c>
      <c r="F102" s="10">
        <v>324.27</v>
      </c>
    </row>
    <row r="103" spans="2:6" x14ac:dyDescent="0.3">
      <c r="B103" s="8">
        <v>60</v>
      </c>
      <c r="C103" s="10">
        <v>146.25</v>
      </c>
      <c r="D103" s="10">
        <v>105.68</v>
      </c>
      <c r="E103" s="10">
        <v>122.2</v>
      </c>
      <c r="F103" s="10">
        <v>374.13</v>
      </c>
    </row>
    <row r="104" spans="2:6" x14ac:dyDescent="0.3">
      <c r="B104" s="8">
        <v>70</v>
      </c>
      <c r="C104" s="10">
        <v>146.25</v>
      </c>
      <c r="D104" s="10">
        <v>117.44</v>
      </c>
      <c r="E104" s="10">
        <v>130</v>
      </c>
      <c r="F104" s="10">
        <v>393.69</v>
      </c>
    </row>
    <row r="105" spans="2:6" x14ac:dyDescent="0.3">
      <c r="B105" s="8">
        <v>80</v>
      </c>
      <c r="C105" s="10">
        <v>146.25</v>
      </c>
      <c r="D105" s="10">
        <v>124.49</v>
      </c>
      <c r="E105" s="10">
        <v>184.2</v>
      </c>
      <c r="F105" s="10">
        <v>454.94</v>
      </c>
    </row>
    <row r="106" spans="2:6" x14ac:dyDescent="0.3">
      <c r="B106" s="8">
        <v>90</v>
      </c>
      <c r="C106" s="10">
        <v>146.25</v>
      </c>
      <c r="D106" s="10">
        <v>137.69999999999999</v>
      </c>
      <c r="E106" s="10">
        <v>210.2</v>
      </c>
      <c r="F106" s="10">
        <v>494.15</v>
      </c>
    </row>
    <row r="107" spans="2:6" x14ac:dyDescent="0.3">
      <c r="B107" s="8">
        <v>100</v>
      </c>
      <c r="C107" s="10">
        <v>146.25</v>
      </c>
      <c r="D107" s="10">
        <v>146.97999999999999</v>
      </c>
      <c r="E107" s="10">
        <v>135.84</v>
      </c>
      <c r="F107" s="10">
        <v>429.07000000000005</v>
      </c>
    </row>
    <row r="108" spans="2:6" x14ac:dyDescent="0.3">
      <c r="B108" s="8" t="s">
        <v>11</v>
      </c>
      <c r="C108" s="10">
        <v>1462.5</v>
      </c>
      <c r="D108" s="10">
        <v>1034.51</v>
      </c>
      <c r="E108" s="10">
        <v>980.14</v>
      </c>
      <c r="F108" s="10">
        <v>3477.1500000000005</v>
      </c>
    </row>
  </sheetData>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H56"/>
  <sheetViews>
    <sheetView showGridLines="0" tabSelected="1" zoomScale="63" zoomScaleNormal="63" workbookViewId="0">
      <selection activeCell="AI20" sqref="AI20"/>
    </sheetView>
  </sheetViews>
  <sheetFormatPr defaultRowHeight="14.4" x14ac:dyDescent="0.3"/>
  <cols>
    <col min="1" max="1" width="0.77734375" customWidth="1"/>
  </cols>
  <sheetData>
    <row r="56" spans="34:34" ht="34.799999999999997" x14ac:dyDescent="0.55000000000000004">
      <c r="AH56"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Details</vt:lpstr>
      <vt:lpstr>Pivot Tables</vt:lpstr>
      <vt:lpstr>DASHBOARD</vt:lpstr>
    </vt:vector>
  </TitlesOfParts>
  <Company>HP</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2025-03-31T06:53:23Z</dcterms:created>
  <dcterms:modified xsi:type="dcterms:W3CDTF">2026-03-11T15:00:00Z</dcterms:modified>
</cp:coreProperties>
</file>